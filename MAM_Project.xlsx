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svg" ContentType="image/svg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pivotCache/pivotCacheDefinition3.xml" ContentType="application/vnd.openxmlformats-officedocument.spreadsheetml.pivotCacheDefinition+xml"/>
  <Override PartName="/xl/pivotCache/pivotCacheRecords3.xml" ContentType="application/vnd.openxmlformats-officedocument.spreadsheetml.pivotCacheRecords+xml"/>
  <Override PartName="/xl/pivotCache/pivotCacheDefinition4.xml" ContentType="application/vnd.openxmlformats-officedocument.spreadsheetml.pivotCacheDefinition+xml"/>
  <Override PartName="/xl/pivotCache/pivotCacheRecords4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Ex1.xml" ContentType="application/vnd.ms-office.chartex+xml"/>
  <Override PartName="/xl/charts/style4.xml" ContentType="application/vnd.ms-office.chartstyle+xml"/>
  <Override PartName="/xl/charts/colors4.xml" ContentType="application/vnd.ms-office.chartcolorstyle+xml"/>
  <Override PartName="/xl/pivotTables/pivotTable1.xml" ContentType="application/vnd.openxmlformats-officedocument.spreadsheetml.pivotTable+xml"/>
  <Override PartName="/xl/tables/table1.xml" ContentType="application/vnd.openxmlformats-officedocument.spreadsheetml.table+xml"/>
  <Override PartName="/xl/pivotTables/pivotTable2.xml" ContentType="application/vnd.openxmlformats-officedocument.spreadsheetml.pivotTable+xml"/>
  <Override PartName="/xl/tables/table2.xml" ContentType="application/vnd.openxmlformats-officedocument.spreadsheetml.table+xml"/>
  <Override PartName="/xl/pivotTables/pivotTable3.xml" ContentType="application/vnd.openxmlformats-officedocument.spreadsheetml.pivotTable+xml"/>
  <Override PartName="/xl/tables/table3.xml" ContentType="application/vnd.openxmlformats-officedocument.spreadsheetml.table+xml"/>
  <Override PartName="/xl/pivotTables/pivotTable4.xml" ContentType="application/vnd.openxmlformats-officedocument.spreadsheetml.pivotTable+xml"/>
  <Override PartName="/xl/tables/table4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24226"/>
  <mc:AlternateContent xmlns:mc="http://schemas.openxmlformats.org/markup-compatibility/2006">
    <mc:Choice Requires="x15">
      <x15ac:absPath xmlns:x15ac="http://schemas.microsoft.com/office/spreadsheetml/2010/11/ac" url="D:\Internship\RCHO\"/>
    </mc:Choice>
  </mc:AlternateContent>
  <xr:revisionPtr revIDLastSave="0" documentId="13_ncr:1_{5774DB5F-B94D-4725-8B1C-584802073296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DASHBOARD" sheetId="6" r:id="rId1"/>
    <sheet name="Karkala" sheetId="3" state="hidden" r:id="rId2"/>
    <sheet name="Kundapura" sheetId="2" state="hidden" r:id="rId3"/>
    <sheet name="Udupi" sheetId="1" state="hidden" r:id="rId4"/>
    <sheet name="District" sheetId="5" state="hidden" r:id="rId5"/>
  </sheets>
  <definedNames>
    <definedName name="_xlchart.v1.0" hidden="1">Udupi!$L$5:$L$6</definedName>
    <definedName name="_xlchart.v1.1" hidden="1">Udupi!$M$5:$M$6</definedName>
  </definedNames>
  <calcPr calcId="191029"/>
  <pivotCaches>
    <pivotCache cacheId="0" r:id="rId6"/>
    <pivotCache cacheId="1" r:id="rId7"/>
    <pivotCache cacheId="2" r:id="rId8"/>
    <pivotCache cacheId="3" r:id="rId9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35" i="3" l="1"/>
  <c r="F35" i="3"/>
  <c r="E58" i="2"/>
  <c r="F58" i="2"/>
  <c r="E66" i="1"/>
  <c r="F66" i="1"/>
  <c r="D35" i="3"/>
  <c r="D58" i="2"/>
  <c r="D66" i="1" l="1"/>
</calcChain>
</file>

<file path=xl/sharedStrings.xml><?xml version="1.0" encoding="utf-8"?>
<sst xmlns="http://schemas.openxmlformats.org/spreadsheetml/2006/main" count="538" uniqueCount="198">
  <si>
    <t>Sl.No</t>
  </si>
  <si>
    <t>Name of the Institution</t>
  </si>
  <si>
    <t xml:space="preserve">No of MAM Children </t>
  </si>
  <si>
    <t>Hirebettu</t>
  </si>
  <si>
    <t>Hiriyadka</t>
  </si>
  <si>
    <t>Kemmannu</t>
  </si>
  <si>
    <t>Kukkehalli</t>
  </si>
  <si>
    <t>Malpe</t>
  </si>
  <si>
    <t>Manipura</t>
  </si>
  <si>
    <t>Pernankila</t>
  </si>
  <si>
    <t>UHC Udupi</t>
  </si>
  <si>
    <t>UHC Manipal</t>
  </si>
  <si>
    <t>FPAI</t>
  </si>
  <si>
    <t>Avarse</t>
  </si>
  <si>
    <t>Barkur</t>
  </si>
  <si>
    <t>Brahmavara</t>
  </si>
  <si>
    <t>Karje</t>
  </si>
  <si>
    <t>Kodibengre</t>
  </si>
  <si>
    <t>Kokkarne</t>
  </si>
  <si>
    <t>Kota</t>
  </si>
  <si>
    <t>Kolalgiri</t>
  </si>
  <si>
    <t>Mandarthi</t>
  </si>
  <si>
    <t>Pethri</t>
  </si>
  <si>
    <t>Saibarakatte</t>
  </si>
  <si>
    <t>Saligrama</t>
  </si>
  <si>
    <t>Sastana</t>
  </si>
  <si>
    <t>Kaup</t>
  </si>
  <si>
    <t xml:space="preserve">Moodabettu </t>
  </si>
  <si>
    <t>Mudarangadi</t>
  </si>
  <si>
    <t>Padubidri</t>
  </si>
  <si>
    <t>Shirva</t>
  </si>
  <si>
    <t>Aloor</t>
  </si>
  <si>
    <t>Basrur</t>
  </si>
  <si>
    <t>Bidkalkatte</t>
  </si>
  <si>
    <t>Gangolli</t>
  </si>
  <si>
    <t>Haladi</t>
  </si>
  <si>
    <t>Hakladi</t>
  </si>
  <si>
    <t>Kedur</t>
  </si>
  <si>
    <t>Kandlur</t>
  </si>
  <si>
    <t>Korgi</t>
  </si>
  <si>
    <t>Kumbashi</t>
  </si>
  <si>
    <t>Koteshwara</t>
  </si>
  <si>
    <t xml:space="preserve">Kodi </t>
  </si>
  <si>
    <t>Shankarnarayana</t>
  </si>
  <si>
    <t>Siddapura</t>
  </si>
  <si>
    <t>Vandse</t>
  </si>
  <si>
    <t>G.H Kundapura</t>
  </si>
  <si>
    <t>Kodi ( Urban)</t>
  </si>
  <si>
    <t>Baindur</t>
  </si>
  <si>
    <t>Hallihole</t>
  </si>
  <si>
    <t>Kirimanjeshwara</t>
  </si>
  <si>
    <t>Kollur</t>
  </si>
  <si>
    <t>Maravanthe</t>
  </si>
  <si>
    <t>Nada</t>
  </si>
  <si>
    <t>Shiroor</t>
  </si>
  <si>
    <t>Belve</t>
  </si>
  <si>
    <t>Total</t>
  </si>
  <si>
    <t>AJEKAR</t>
  </si>
  <si>
    <t>BAILOOR</t>
  </si>
  <si>
    <t>BAJAGOLI</t>
  </si>
  <si>
    <t>BELMAN</t>
  </si>
  <si>
    <t>DONDERANGADI</t>
  </si>
  <si>
    <t>DURGA</t>
  </si>
  <si>
    <t>HIRGANA</t>
  </si>
  <si>
    <t>IDU</t>
  </si>
  <si>
    <t>INNA</t>
  </si>
  <si>
    <t>IRVATHOOR</t>
  </si>
  <si>
    <t>KUKKUNDOOR</t>
  </si>
  <si>
    <t>MALA</t>
  </si>
  <si>
    <t>NANDALIKE</t>
  </si>
  <si>
    <t>PALLI</t>
  </si>
  <si>
    <t>SACHERIPETE</t>
  </si>
  <si>
    <t>MUNIYALU</t>
  </si>
  <si>
    <t>HEBRI</t>
  </si>
  <si>
    <t>NITTE</t>
  </si>
  <si>
    <t>GH KARKALA</t>
  </si>
  <si>
    <t xml:space="preserve"> TOTAL</t>
  </si>
  <si>
    <t xml:space="preserve">Total </t>
  </si>
  <si>
    <t>Village</t>
  </si>
  <si>
    <t>Nadsalu</t>
  </si>
  <si>
    <t>Tenka</t>
  </si>
  <si>
    <t>80 Badagabettu</t>
  </si>
  <si>
    <t>Urban</t>
  </si>
  <si>
    <t>Bommarabettu</t>
  </si>
  <si>
    <t>Tenkanidiyoor</t>
  </si>
  <si>
    <t>Badanidiyoor</t>
  </si>
  <si>
    <t>Perdoor</t>
  </si>
  <si>
    <t>Bellampalli</t>
  </si>
  <si>
    <t>Heroor</t>
  </si>
  <si>
    <t>Baikadi</t>
  </si>
  <si>
    <t>Chantaru</t>
  </si>
  <si>
    <t>Hejamadi</t>
  </si>
  <si>
    <t>Onthibettu</t>
  </si>
  <si>
    <t>Anjaru</t>
  </si>
  <si>
    <t>Belle</t>
  </si>
  <si>
    <t>Kudi 82</t>
  </si>
  <si>
    <t>Kodibettu</t>
  </si>
  <si>
    <t>Mattu</t>
  </si>
  <si>
    <t>Udyavara</t>
  </si>
  <si>
    <t>Kurkalu</t>
  </si>
  <si>
    <t>Nandikooru</t>
  </si>
  <si>
    <t>Palimaru</t>
  </si>
  <si>
    <t>Pilar</t>
  </si>
  <si>
    <t>Alevoor</t>
  </si>
  <si>
    <t>Moodanidamburu</t>
  </si>
  <si>
    <t>Puttur</t>
  </si>
  <si>
    <t>76 Badagabettu</t>
  </si>
  <si>
    <t>Shivalli</t>
  </si>
  <si>
    <t>Kenjoor</t>
  </si>
  <si>
    <t>Kodi</t>
  </si>
  <si>
    <t>Yadtadi</t>
  </si>
  <si>
    <t>Kavadi</t>
  </si>
  <si>
    <t>Shiriyara</t>
  </si>
  <si>
    <t>Irody</t>
  </si>
  <si>
    <t>Karkada</t>
  </si>
  <si>
    <t>Billady</t>
  </si>
  <si>
    <t>Kakkunje</t>
  </si>
  <si>
    <t>Hiliyana</t>
  </si>
  <si>
    <t>Hosoor</t>
  </si>
  <si>
    <t>Haluvalli</t>
  </si>
  <si>
    <t>Nancharu</t>
  </si>
  <si>
    <t>34 Kudi</t>
  </si>
  <si>
    <t>35 Kudi</t>
  </si>
  <si>
    <t>Kadoor</t>
  </si>
  <si>
    <t>33 Shiroor</t>
  </si>
  <si>
    <t>Heggunje</t>
  </si>
  <si>
    <t>Paduthonse</t>
  </si>
  <si>
    <t>Amparu</t>
  </si>
  <si>
    <t>Kavradi</t>
  </si>
  <si>
    <t>Balkur</t>
  </si>
  <si>
    <t>Kulunje</t>
  </si>
  <si>
    <t>Amasebailu</t>
  </si>
  <si>
    <t>Kandavara</t>
  </si>
  <si>
    <t>Anagalli</t>
  </si>
  <si>
    <t>Kamalashile</t>
  </si>
  <si>
    <t>Bellala</t>
  </si>
  <si>
    <t>Gulvadi</t>
  </si>
  <si>
    <t>Kakrkunje</t>
  </si>
  <si>
    <t>Chitturu</t>
  </si>
  <si>
    <t>Kundapura</t>
  </si>
  <si>
    <t>Beejadi</t>
  </si>
  <si>
    <t>Thekkatte</t>
  </si>
  <si>
    <t>Kalavara</t>
  </si>
  <si>
    <t>Gujjadi</t>
  </si>
  <si>
    <t>Trasi</t>
  </si>
  <si>
    <t>Kattbelthur</t>
  </si>
  <si>
    <t>Tallur</t>
  </si>
  <si>
    <t>Uppinakudru</t>
  </si>
  <si>
    <t>Uppunda</t>
  </si>
  <si>
    <t>Bijuru</t>
  </si>
  <si>
    <t>Yadthare</t>
  </si>
  <si>
    <t>Paduvari</t>
  </si>
  <si>
    <t>Navunda</t>
  </si>
  <si>
    <t>Golihole</t>
  </si>
  <si>
    <t>Jadkal</t>
  </si>
  <si>
    <t>Kalthodu</t>
  </si>
  <si>
    <t>Kambadakone</t>
  </si>
  <si>
    <t>Albadi</t>
  </si>
  <si>
    <t>Madamakki</t>
  </si>
  <si>
    <t>Shedimane</t>
  </si>
  <si>
    <t>Hattiyangadi</t>
  </si>
  <si>
    <t>Kanyana</t>
  </si>
  <si>
    <t>Kenchanuru</t>
  </si>
  <si>
    <t>Miyaru</t>
  </si>
  <si>
    <t>Sanoor</t>
  </si>
  <si>
    <t>Marne</t>
  </si>
  <si>
    <t>Kadthala</t>
  </si>
  <si>
    <t>Mudaru</t>
  </si>
  <si>
    <t>Nallur</t>
  </si>
  <si>
    <t>Inna</t>
  </si>
  <si>
    <t>Koudoor</t>
  </si>
  <si>
    <t>Erlapadi</t>
  </si>
  <si>
    <t>Neere</t>
  </si>
  <si>
    <t>Bailoor</t>
  </si>
  <si>
    <t>Kanajaru</t>
  </si>
  <si>
    <t>Nitte</t>
  </si>
  <si>
    <t>Kedimaje</t>
  </si>
  <si>
    <t>Bola</t>
  </si>
  <si>
    <t>Kanthavara</t>
  </si>
  <si>
    <t>Chara</t>
  </si>
  <si>
    <t>Kuchur</t>
  </si>
  <si>
    <t>Shivapura</t>
  </si>
  <si>
    <t>Kerebettu</t>
  </si>
  <si>
    <t>Mudradi</t>
  </si>
  <si>
    <t xml:space="preserve">DETAILS OF MAM CHIDLREN     </t>
  </si>
  <si>
    <t xml:space="preserve"> -</t>
  </si>
  <si>
    <t>Female</t>
  </si>
  <si>
    <t>Male</t>
  </si>
  <si>
    <t>Herga</t>
  </si>
  <si>
    <t>Yadamoge</t>
  </si>
  <si>
    <t xml:space="preserve"> </t>
  </si>
  <si>
    <t>Kukkundoor</t>
  </si>
  <si>
    <t>Belman</t>
  </si>
  <si>
    <t>Idu</t>
  </si>
  <si>
    <t>Mala</t>
  </si>
  <si>
    <t>GH Karkala</t>
  </si>
  <si>
    <t>Sum of Female</t>
  </si>
  <si>
    <t>Sum of Male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</si>
</sst>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2"/>
      <name val="Arial Narrow"/>
      <family val="2"/>
    </font>
    <font>
      <b/>
      <sz val="14"/>
      <color theme="1"/>
      <name val="Arial"/>
      <family val="2"/>
    </font>
    <font>
      <b/>
      <sz val="14"/>
      <name val="Arial Narrow"/>
      <family val="2"/>
    </font>
    <font>
      <sz val="14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rgb="FFFFFF00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4">
    <xf numFmtId="0" fontId="0" fillId="0" borderId="0"/>
    <xf numFmtId="0" fontId="1" fillId="0" borderId="0"/>
    <xf numFmtId="0" fontId="2" fillId="0" borderId="0"/>
    <xf numFmtId="0" fontId="1" fillId="0" borderId="0"/>
  </cellStyleXfs>
  <cellXfs count="53">
    <xf numFmtId="0" fontId="0" fillId="0" borderId="0" xfId="0"/>
    <xf numFmtId="0" fontId="3" fillId="2" borderId="1" xfId="0" applyFont="1" applyFill="1" applyBorder="1" applyAlignment="1">
      <alignment horizontal="center" vertical="center" wrapText="1"/>
    </xf>
    <xf numFmtId="0" fontId="6" fillId="0" borderId="0" xfId="0" applyFont="1"/>
    <xf numFmtId="0" fontId="5" fillId="0" borderId="1" xfId="0" applyFont="1" applyBorder="1" applyAlignment="1">
      <alignment horizontal="center" vertical="center" wrapText="1"/>
    </xf>
    <xf numFmtId="0" fontId="5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4" fillId="0" borderId="1" xfId="0" applyFont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3" fillId="2" borderId="3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5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0" fillId="0" borderId="3" xfId="0" applyBorder="1" applyAlignment="1">
      <alignment horizontal="center" vertical="center"/>
    </xf>
    <xf numFmtId="0" fontId="3" fillId="2" borderId="8" xfId="0" applyFont="1" applyFill="1" applyBorder="1" applyAlignment="1">
      <alignment horizontal="center" vertical="center" wrapText="1"/>
    </xf>
    <xf numFmtId="0" fontId="3" fillId="2" borderId="9" xfId="0" applyFont="1" applyFill="1" applyBorder="1" applyAlignment="1">
      <alignment horizontal="center" vertical="center" wrapText="1"/>
    </xf>
    <xf numFmtId="0" fontId="3" fillId="0" borderId="10" xfId="0" applyFont="1" applyBorder="1" applyAlignment="1">
      <alignment horizontal="center" vertical="center" wrapText="1"/>
    </xf>
    <xf numFmtId="0" fontId="0" fillId="0" borderId="5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5" fillId="0" borderId="2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/>
    </xf>
    <xf numFmtId="0" fontId="5" fillId="0" borderId="8" xfId="0" applyFont="1" applyBorder="1" applyAlignment="1">
      <alignment horizontal="center" vertical="center" wrapText="1"/>
    </xf>
    <xf numFmtId="0" fontId="5" fillId="0" borderId="10" xfId="0" applyFont="1" applyBorder="1" applyAlignment="1">
      <alignment horizontal="center" vertical="center" wrapText="1"/>
    </xf>
    <xf numFmtId="0" fontId="6" fillId="0" borderId="5" xfId="0" applyFont="1" applyBorder="1" applyAlignment="1">
      <alignment horizontal="center" vertical="center"/>
    </xf>
    <xf numFmtId="0" fontId="6" fillId="0" borderId="11" xfId="0" applyFont="1" applyBorder="1" applyAlignment="1">
      <alignment horizontal="center" vertical="center"/>
    </xf>
    <xf numFmtId="0" fontId="5" fillId="2" borderId="2" xfId="0" applyFont="1" applyFill="1" applyBorder="1" applyAlignment="1">
      <alignment horizontal="center" vertical="center" wrapText="1"/>
    </xf>
    <xf numFmtId="0" fontId="3" fillId="2" borderId="11" xfId="0" applyFont="1" applyFill="1" applyBorder="1" applyAlignment="1">
      <alignment horizontal="center" vertical="center" wrapText="1"/>
    </xf>
    <xf numFmtId="0" fontId="3" fillId="2" borderId="10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/>
    </xf>
    <xf numFmtId="0" fontId="3" fillId="2" borderId="3" xfId="0" applyFont="1" applyFill="1" applyBorder="1" applyAlignment="1">
      <alignment horizontal="center" vertical="center"/>
    </xf>
    <xf numFmtId="0" fontId="3" fillId="2" borderId="5" xfId="0" applyFont="1" applyFill="1" applyBorder="1" applyAlignment="1">
      <alignment horizontal="center" vertical="center"/>
    </xf>
    <xf numFmtId="0" fontId="3" fillId="2" borderId="11" xfId="0" applyFont="1" applyFill="1" applyBorder="1" applyAlignment="1">
      <alignment horizontal="center" vertical="center"/>
    </xf>
    <xf numFmtId="0" fontId="0" fillId="3" borderId="0" xfId="0" applyFill="1"/>
    <xf numFmtId="0" fontId="5" fillId="4" borderId="1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0" borderId="5" xfId="0" applyFont="1" applyBorder="1" applyAlignment="1">
      <alignment horizontal="center" vertical="center" wrapText="1"/>
    </xf>
    <xf numFmtId="0" fontId="3" fillId="0" borderId="7" xfId="0" applyFont="1" applyBorder="1" applyAlignment="1">
      <alignment horizontal="center" vertical="center" wrapText="1"/>
    </xf>
    <xf numFmtId="0" fontId="3" fillId="2" borderId="5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3" fillId="2" borderId="6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0" fontId="5" fillId="0" borderId="5" xfId="0" applyFont="1" applyBorder="1" applyAlignment="1">
      <alignment horizontal="center" vertical="center" wrapText="1"/>
    </xf>
    <xf numFmtId="0" fontId="5" fillId="0" borderId="7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5" fillId="4" borderId="1" xfId="0" applyFont="1" applyFill="1" applyBorder="1" applyAlignment="1">
      <alignment horizontal="center" vertical="center" wrapText="1"/>
    </xf>
    <xf numFmtId="0" fontId="5" fillId="2" borderId="1" xfId="0" applyFont="1" applyFill="1" applyBorder="1" applyAlignment="1">
      <alignment horizontal="center" vertical="center" wrapText="1"/>
    </xf>
  </cellXfs>
  <cellStyles count="4">
    <cellStyle name="Normal" xfId="0" builtinId="0"/>
    <cellStyle name="Normal 2" xfId="1" xr:uid="{00000000-0005-0000-0000-000001000000}"/>
    <cellStyle name="Normal 2 2" xfId="2" xr:uid="{00000000-0005-0000-0000-000002000000}"/>
    <cellStyle name="Normal 3" xfId="3" xr:uid="{00000000-0005-0000-0000-000003000000}"/>
  </cellStyles>
  <dxfs count="27"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 Narrow"/>
        <family val="2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 Narrow"/>
        <family val="2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 Narrow"/>
        <family val="2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 Narrow"/>
        <family val="2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Arial Narrow"/>
        <family val="2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 Narrow"/>
        <family val="2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Arial Narrow"/>
        <family val="2"/>
        <scheme val="none"/>
      </font>
      <alignment horizontal="center" vertical="center" textRotation="0" wrapText="1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bottom style="thin">
          <color indexed="64"/>
        </bottom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 Narrow"/>
        <family val="2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 Narrow"/>
        <family val="2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9" defaultPivotStyle="PivotStyleLight16"/>
  <colors>
    <mruColors>
      <color rgb="FFCC00CC"/>
      <color rgb="FFFF99FF"/>
      <color rgb="FFEAA8DF"/>
      <color rgb="FFD44CB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ivotCacheDefinition" Target="pivotCache/pivotCacheDefinition3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2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pivotCacheDefinition" Target="pivotCache/pivotCacheDefinition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Ex1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60" b="1" i="0" u="none" strike="noStrike" kern="1200" cap="all" spc="50" baseline="0">
                <a:solidFill>
                  <a:sysClr val="windowText" lastClr="000000"/>
                </a:solidFill>
                <a:latin typeface="Lato Black" panose="020F0A02020204030203" pitchFamily="34" charset="0"/>
                <a:ea typeface="+mn-ea"/>
                <a:cs typeface="+mn-cs"/>
              </a:defRPr>
            </a:pPr>
            <a:r>
              <a:rPr lang="en-IN" sz="1400" b="0" i="0" u="none" strike="noStrike" kern="1200" spc="0" baseline="0">
                <a:solidFill>
                  <a:sysClr val="windowText" lastClr="000000"/>
                </a:solidFill>
                <a:latin typeface="Lato Black" panose="020F0A02020204030203" pitchFamily="34" charset="0"/>
              </a:rPr>
              <a:t>Gender Based MAM Report of Udupi District</a:t>
            </a:r>
          </a:p>
        </c:rich>
      </c:tx>
      <c:layout>
        <c:manualLayout>
          <c:xMode val="edge"/>
          <c:yMode val="edge"/>
          <c:x val="0.13089566929133858"/>
          <c:y val="1.911558941038491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60" b="1" i="0" u="none" strike="noStrike" kern="1200" cap="all" spc="50" baseline="0">
              <a:solidFill>
                <a:sysClr val="windowText" lastClr="000000"/>
              </a:solidFill>
              <a:latin typeface="Lato Black" panose="020F0A02020204030203" pitchFamily="34" charset="0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26085958005249343"/>
          <c:y val="0.3143737793115739"/>
          <c:w val="0.46994772528433948"/>
          <c:h val="0.64679959878334536"/>
        </c:manualLayout>
      </c:layout>
      <c:doughnutChart>
        <c:varyColors val="1"/>
        <c:ser>
          <c:idx val="0"/>
          <c:order val="0"/>
          <c:spPr>
            <a:ln>
              <a:noFill/>
            </a:ln>
          </c:spPr>
          <c:dPt>
            <c:idx val="0"/>
            <c:bubble3D val="0"/>
            <c:spPr>
              <a:gradFill>
                <a:gsLst>
                  <a:gs pos="0">
                    <a:srgbClr val="00B0F0"/>
                  </a:gs>
                  <a:gs pos="100000">
                    <a:schemeClr val="tx2">
                      <a:lumMod val="75000"/>
                    </a:schemeClr>
                  </a:gs>
                </a:gsLst>
                <a:lin ang="10800000" scaled="0"/>
              </a:gradFill>
              <a:ln>
                <a:noFill/>
              </a:ln>
              <a:effectLst/>
              <a:scene3d>
                <a:camera prst="orthographicFront"/>
                <a:lightRig rig="brightRoom" dir="t"/>
              </a:scene3d>
              <a:sp3d prstMaterial="flat">
                <a:bevelT w="50800" h="101600" prst="angle"/>
                <a:contourClr>
                  <a:srgbClr val="000000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AD43-4239-AA47-F3276C8D39FE}"/>
              </c:ext>
            </c:extLst>
          </c:dPt>
          <c:dPt>
            <c:idx val="1"/>
            <c:bubble3D val="0"/>
            <c:spPr>
              <a:gradFill>
                <a:gsLst>
                  <a:gs pos="49700">
                    <a:srgbClr val="E64DE6"/>
                  </a:gs>
                  <a:gs pos="0">
                    <a:srgbClr val="FF99FF"/>
                  </a:gs>
                  <a:gs pos="100000">
                    <a:srgbClr val="CC00CC"/>
                  </a:gs>
                </a:gsLst>
                <a:lin ang="10800000" scaled="0"/>
              </a:gradFill>
              <a:ln>
                <a:noFill/>
              </a:ln>
              <a:effectLst/>
              <a:scene3d>
                <a:camera prst="orthographicFront"/>
                <a:lightRig rig="brightRoom" dir="t"/>
              </a:scene3d>
              <a:sp3d prstMaterial="flat">
                <a:bevelT w="50800" h="101600" prst="angle"/>
                <a:contourClr>
                  <a:srgbClr val="000000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AD43-4239-AA47-F3276C8D39FE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1050" b="1" i="0" u="none" strike="noStrike" kern="1200" baseline="0">
                    <a:solidFill>
                      <a:schemeClr val="tx1"/>
                    </a:solidFill>
                    <a:latin typeface="Lato Black" panose="020F0A02020204030203" pitchFamily="34" charset="0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District!$E$6:$E$7</c:f>
              <c:strCache>
                <c:ptCount val="2"/>
                <c:pt idx="0">
                  <c:v>Male</c:v>
                </c:pt>
                <c:pt idx="1">
                  <c:v>Female</c:v>
                </c:pt>
              </c:strCache>
            </c:strRef>
          </c:cat>
          <c:val>
            <c:numRef>
              <c:f>District!$F$6:$F$7</c:f>
              <c:numCache>
                <c:formatCode>General</c:formatCode>
                <c:ptCount val="2"/>
                <c:pt idx="0">
                  <c:v>134</c:v>
                </c:pt>
                <c:pt idx="1">
                  <c:v>123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AD43-4239-AA47-F3276C8D39FE}"/>
            </c:ext>
          </c:extLst>
        </c:ser>
        <c:dLbls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  <c:holeSize val="50"/>
      </c:doughnutChart>
      <c:spPr>
        <a:noFill/>
        <a:ln>
          <a:noFill/>
        </a:ln>
        <a:effectLst/>
      </c:spPr>
    </c:plotArea>
    <c:legend>
      <c:legendPos val="t"/>
      <c:layout>
        <c:manualLayout>
          <c:xMode val="edge"/>
          <c:yMode val="edge"/>
          <c:x val="0.36077209098862645"/>
          <c:y val="0.19177391465596755"/>
          <c:w val="0.27290026246719162"/>
          <c:h val="8.5527486147564891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50" b="0" i="0" u="none" strike="noStrike" kern="1200" baseline="0">
              <a:solidFill>
                <a:sysClr val="windowText" lastClr="000000"/>
              </a:solidFill>
              <a:latin typeface="Lato Black" panose="020F0A02020204030203" pitchFamily="34" charset="0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accent5">
        <a:lumMod val="40000"/>
        <a:lumOff val="60000"/>
      </a:schemeClr>
    </a:solidFill>
    <a:ln w="9525" cap="flat" cmpd="sng" algn="ctr">
      <a:noFill/>
      <a:round/>
    </a:ln>
    <a:effectLst>
      <a:outerShdw blurRad="40000" dist="23000" dir="5400000" rotWithShape="0">
        <a:srgbClr val="000000">
          <a:alpha val="35000"/>
        </a:srgbClr>
      </a:outerShdw>
    </a:effectLst>
    <a:scene3d>
      <a:camera prst="orthographicFront">
        <a:rot lat="0" lon="0" rev="0"/>
      </a:camera>
      <a:lightRig rig="threePt" dir="t">
        <a:rot lat="0" lon="0" rev="1200000"/>
      </a:lightRig>
    </a:scene3d>
    <a:sp3d>
      <a:bevelT w="63500" h="25400"/>
    </a:sp3d>
  </c:spPr>
  <c:txPr>
    <a:bodyPr/>
    <a:lstStyle/>
    <a:p>
      <a:pPr>
        <a:defRPr sz="1050">
          <a:solidFill>
            <a:sysClr val="windowText" lastClr="000000"/>
          </a:solidFill>
          <a:latin typeface="Lato Black" panose="020F0A02020204030203" pitchFamily="34" charset="0"/>
          <a:ea typeface="+mn-ea"/>
          <a:cs typeface="+mn-cs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0" i="0" u="none" strike="noStrike" kern="1200" spc="0" baseline="0">
                <a:solidFill>
                  <a:sysClr val="windowText" lastClr="000000"/>
                </a:solidFill>
                <a:latin typeface="Lato Black" panose="020F0A02020204030203" pitchFamily="34" charset="0"/>
                <a:ea typeface="+mn-ea"/>
                <a:cs typeface="+mn-cs"/>
              </a:defRPr>
            </a:pPr>
            <a:r>
              <a:rPr lang="en-IN" sz="1600" b="0" i="0" kern="1200" spc="0" baseline="0">
                <a:solidFill>
                  <a:srgbClr val="000000"/>
                </a:solidFill>
                <a:effectLst/>
                <a:latin typeface="Lato Black" panose="020F0A02020204030203" pitchFamily="34" charset="0"/>
              </a:rPr>
              <a:t>Gender-wise Distribution of MAM Cases in Karkal Taluk</a:t>
            </a:r>
            <a:endParaRPr lang="en-IN" sz="1600">
              <a:effectLst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0" i="0" u="none" strike="noStrike" kern="1200" spc="0" baseline="0">
              <a:solidFill>
                <a:sysClr val="windowText" lastClr="000000"/>
              </a:solidFill>
              <a:latin typeface="Lato Black" panose="020F0A02020204030203" pitchFamily="34" charset="0"/>
              <a:ea typeface="+mn-ea"/>
              <a:cs typeface="+mn-cs"/>
            </a:defRPr>
          </a:pPr>
          <a:endParaRPr lang="en-IN"/>
        </a:p>
      </c:txPr>
    </c:title>
    <c:autoTitleDeleted val="0"/>
    <c:plotArea>
      <c:layout>
        <c:manualLayout>
          <c:layoutTarget val="inner"/>
          <c:xMode val="edge"/>
          <c:yMode val="edge"/>
          <c:x val="2.8556593977154723E-2"/>
          <c:y val="0.19756452318460194"/>
          <c:w val="0.94288681204569058"/>
          <c:h val="0.73970399533391662"/>
        </c:manualLayout>
      </c:layout>
      <c:barChart>
        <c:barDir val="bar"/>
        <c:grouping val="clustered"/>
        <c:varyColors val="0"/>
        <c:ser>
          <c:idx val="0"/>
          <c:order val="0"/>
          <c:tx>
            <c:strRef>
              <c:f>Karkala!$L$5</c:f>
              <c:strCache>
                <c:ptCount val="1"/>
                <c:pt idx="0">
                  <c:v>Male</c:v>
                </c:pt>
              </c:strCache>
            </c:strRef>
          </c:tx>
          <c:spPr>
            <a:solidFill>
              <a:schemeClr val="accent1"/>
            </a:solidFill>
            <a:ln w="15875">
              <a:solidFill>
                <a:srgbClr val="002060"/>
              </a:solidFill>
            </a:ln>
            <a:effectLst/>
          </c:spPr>
          <c:invertIfNegative val="0"/>
          <c:dPt>
            <c:idx val="0"/>
            <c:invertIfNegative val="0"/>
            <c:bubble3D val="0"/>
            <c:spPr>
              <a:gradFill>
                <a:gsLst>
                  <a:gs pos="0">
                    <a:srgbClr val="00B0F0"/>
                  </a:gs>
                  <a:gs pos="100000">
                    <a:srgbClr val="0070C0"/>
                  </a:gs>
                </a:gsLst>
                <a:lin ang="10800000" scaled="1"/>
              </a:gradFill>
              <a:ln w="15875">
                <a:solidFill>
                  <a:srgbClr val="002060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445E-42EE-A586-F06DD31DC572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1050" b="0" i="0" u="none" strike="noStrike" kern="1200" baseline="0">
                    <a:solidFill>
                      <a:schemeClr val="tx1"/>
                    </a:solidFill>
                    <a:latin typeface="Lato Black" panose="020F0A02020204030203" pitchFamily="34" charset="0"/>
                    <a:ea typeface="+mn-ea"/>
                    <a:cs typeface="+mn-cs"/>
                  </a:defRPr>
                </a:pPr>
                <a:endParaRPr lang="en-US"/>
              </a:p>
            </c:txPr>
            <c:dLblPos val="inBase"/>
            <c:showLegendKey val="0"/>
            <c:showVal val="1"/>
            <c:showCatName val="0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Karkala!$M$5</c:f>
              <c:numCache>
                <c:formatCode>General</c:formatCode>
                <c:ptCount val="1"/>
                <c:pt idx="0">
                  <c:v>29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445E-42EE-A586-F06DD31DC572}"/>
            </c:ext>
          </c:extLst>
        </c:ser>
        <c:ser>
          <c:idx val="1"/>
          <c:order val="1"/>
          <c:tx>
            <c:strRef>
              <c:f>Karkala!$L$6</c:f>
              <c:strCache>
                <c:ptCount val="1"/>
                <c:pt idx="0">
                  <c:v>Female</c:v>
                </c:pt>
              </c:strCache>
            </c:strRef>
          </c:tx>
          <c:spPr>
            <a:gradFill flip="none" rotWithShape="1">
              <a:gsLst>
                <a:gs pos="0">
                  <a:srgbClr val="FF99FF"/>
                </a:gs>
                <a:gs pos="53800">
                  <a:srgbClr val="E447E4"/>
                </a:gs>
                <a:gs pos="100000">
                  <a:srgbClr val="CC00CC"/>
                </a:gs>
              </a:gsLst>
              <a:lin ang="10800000" scaled="1"/>
              <a:tileRect/>
            </a:gradFill>
            <a:ln w="15875">
              <a:solidFill>
                <a:srgbClr val="CC00CC"/>
              </a:solidFill>
            </a:ln>
            <a:effectLst/>
          </c:spPr>
          <c:invertIfNegative val="0"/>
          <c:dLbls>
            <c:dLbl>
              <c:idx val="0"/>
              <c:dLblPos val="inEnd"/>
              <c:showLegendKey val="0"/>
              <c:showVal val="1"/>
              <c:showCatName val="0"/>
              <c:showSerName val="1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445E-42EE-A586-F06DD31DC572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1050" b="0" i="0" u="none" strike="noStrike" kern="1200" baseline="0">
                    <a:solidFill>
                      <a:sysClr val="windowText" lastClr="000000"/>
                    </a:solidFill>
                    <a:latin typeface="Lato Black" panose="020F0A02020204030203" pitchFamily="34" charset="0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Karkala!$M$6</c:f>
              <c:numCache>
                <c:formatCode>General</c:formatCode>
                <c:ptCount val="1"/>
                <c:pt idx="0">
                  <c:v>22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445E-42EE-A586-F06DD31DC572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82"/>
        <c:axId val="1890054671"/>
        <c:axId val="1890067631"/>
      </c:barChart>
      <c:catAx>
        <c:axId val="1890054671"/>
        <c:scaling>
          <c:orientation val="minMax"/>
        </c:scaling>
        <c:delete val="1"/>
        <c:axPos val="l"/>
        <c:numFmt formatCode="General" sourceLinked="1"/>
        <c:majorTickMark val="out"/>
        <c:minorTickMark val="none"/>
        <c:tickLblPos val="nextTo"/>
        <c:crossAx val="1890067631"/>
        <c:crosses val="autoZero"/>
        <c:auto val="1"/>
        <c:lblAlgn val="ctr"/>
        <c:lblOffset val="100"/>
        <c:noMultiLvlLbl val="0"/>
      </c:catAx>
      <c:valAx>
        <c:axId val="1890067631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189005467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layout>
        <c:manualLayout>
          <c:xMode val="edge"/>
          <c:yMode val="edge"/>
          <c:x val="0.71811932459165961"/>
          <c:y val="0.18402625637944056"/>
          <c:w val="0.25504697426840339"/>
          <c:h val="8.5527486147564891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50" b="0" i="0" u="none" strike="noStrike" kern="1200" baseline="0">
              <a:solidFill>
                <a:sysClr val="windowText" lastClr="000000"/>
              </a:solidFill>
              <a:latin typeface="Lato Black" panose="020F0A02020204030203" pitchFamily="34" charset="0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accent5">
        <a:lumMod val="40000"/>
        <a:lumOff val="60000"/>
      </a:schemeClr>
    </a:solidFill>
    <a:ln w="9525" cap="flat" cmpd="sng" algn="ctr">
      <a:noFill/>
      <a:round/>
    </a:ln>
    <a:effectLst>
      <a:outerShdw blurRad="40000" dist="23000" dir="5400000" rotWithShape="0">
        <a:srgbClr val="000000">
          <a:alpha val="35000"/>
        </a:srgbClr>
      </a:outerShdw>
    </a:effectLst>
    <a:scene3d>
      <a:camera prst="orthographicFront">
        <a:rot lat="0" lon="0" rev="0"/>
      </a:camera>
      <a:lightRig rig="threePt" dir="t">
        <a:rot lat="0" lon="0" rev="1200000"/>
      </a:lightRig>
    </a:scene3d>
    <a:sp3d>
      <a:bevelT w="63500" h="25400"/>
    </a:sp3d>
  </c:spPr>
  <c:txPr>
    <a:bodyPr/>
    <a:lstStyle/>
    <a:p>
      <a:pPr>
        <a:defRPr sz="1050">
          <a:solidFill>
            <a:sysClr val="windowText" lastClr="000000"/>
          </a:solidFill>
          <a:latin typeface="Lato Black" panose="020F0A02020204030203" pitchFamily="34" charset="0"/>
          <a:ea typeface="+mn-ea"/>
          <a:cs typeface="+mn-cs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0" i="0" u="none" strike="noStrike" kern="1200" spc="0" baseline="0">
                <a:solidFill>
                  <a:schemeClr val="tx1"/>
                </a:solidFill>
                <a:latin typeface="Lato Black" panose="020F0A02020204030203" pitchFamily="34" charset="0"/>
                <a:ea typeface="+mn-ea"/>
                <a:cs typeface="+mn-cs"/>
              </a:defRPr>
            </a:pPr>
            <a:r>
              <a:rPr lang="en-IN" sz="1600" b="0" i="0" u="none" strike="noStrike" kern="1200" spc="0" baseline="0">
                <a:solidFill>
                  <a:sysClr val="windowText" lastClr="000000"/>
                </a:solidFill>
                <a:latin typeface="Lato Black" panose="020F0A02020204030203" pitchFamily="34" charset="0"/>
              </a:rPr>
              <a:t>Gender-wise Distribution of MAM Cases in Kundapura Taluk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0" i="0" u="none" strike="noStrike" kern="1200" spc="0" baseline="0">
              <a:solidFill>
                <a:schemeClr val="tx1"/>
              </a:solidFill>
              <a:latin typeface="Lato Black" panose="020F0A02020204030203" pitchFamily="34" charset="0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2.7110673665791767E-2"/>
          <c:y val="0.14530633517882696"/>
          <c:w val="0.65133442694663168"/>
          <c:h val="0.74566505205023526"/>
        </c:manualLayout>
      </c:layout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 w="19050"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gradFill>
                <a:gsLst>
                  <a:gs pos="0">
                    <a:srgbClr val="00B0F0"/>
                  </a:gs>
                  <a:gs pos="100000">
                    <a:srgbClr val="0070C0"/>
                  </a:gs>
                </a:gsLst>
                <a:lin ang="10800000" scaled="1"/>
              </a:gradFill>
              <a:ln w="19050">
                <a:solidFill>
                  <a:srgbClr val="002060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E3E9-4A0B-AF17-99F135A021C5}"/>
              </c:ext>
            </c:extLst>
          </c:dPt>
          <c:dPt>
            <c:idx val="1"/>
            <c:invertIfNegative val="0"/>
            <c:bubble3D val="0"/>
            <c:spPr>
              <a:gradFill>
                <a:gsLst>
                  <a:gs pos="0">
                    <a:srgbClr val="FF99FF"/>
                  </a:gs>
                  <a:gs pos="53800">
                    <a:srgbClr val="E447E4"/>
                  </a:gs>
                  <a:gs pos="100000">
                    <a:srgbClr val="CC00CC"/>
                  </a:gs>
                </a:gsLst>
                <a:lin ang="10800000" scaled="1"/>
              </a:gradFill>
              <a:ln w="19050">
                <a:solidFill>
                  <a:srgbClr val="CC00CC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E3E9-4A0B-AF17-99F135A021C5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50" b="0" i="0" u="none" strike="noStrike" kern="1200" baseline="0">
                    <a:solidFill>
                      <a:schemeClr val="tx1"/>
                    </a:solidFill>
                    <a:latin typeface="Lato Black" panose="020F0A02020204030203" pitchFamily="34" charset="0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Kundapura!$L$5:$L$6</c:f>
              <c:strCache>
                <c:ptCount val="2"/>
                <c:pt idx="0">
                  <c:v>Male</c:v>
                </c:pt>
                <c:pt idx="1">
                  <c:v>Female</c:v>
                </c:pt>
              </c:strCache>
            </c:strRef>
          </c:cat>
          <c:val>
            <c:numRef>
              <c:f>Kundapura!$M$5:$M$6</c:f>
              <c:numCache>
                <c:formatCode>General</c:formatCode>
                <c:ptCount val="2"/>
                <c:pt idx="0">
                  <c:v>36</c:v>
                </c:pt>
                <c:pt idx="1">
                  <c:v>50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E3E9-4A0B-AF17-99F135A021C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axId val="1890103151"/>
        <c:axId val="1890104111"/>
      </c:barChart>
      <c:catAx>
        <c:axId val="1890103151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chemeClr val="tx1"/>
                </a:solidFill>
                <a:latin typeface="Lato Black" panose="020F0A02020204030203" pitchFamily="34" charset="0"/>
                <a:ea typeface="+mn-ea"/>
                <a:cs typeface="+mn-cs"/>
              </a:defRPr>
            </a:pPr>
            <a:endParaRPr lang="en-US"/>
          </a:p>
        </c:txPr>
        <c:crossAx val="1890104111"/>
        <c:crosses val="autoZero"/>
        <c:auto val="1"/>
        <c:lblAlgn val="ctr"/>
        <c:lblOffset val="100"/>
        <c:noMultiLvlLbl val="0"/>
      </c:catAx>
      <c:valAx>
        <c:axId val="1890104111"/>
        <c:scaling>
          <c:orientation val="minMax"/>
        </c:scaling>
        <c:delete val="1"/>
        <c:axPos val="l"/>
        <c:numFmt formatCode="General" sourceLinked="1"/>
        <c:majorTickMark val="out"/>
        <c:minorTickMark val="none"/>
        <c:tickLblPos val="nextTo"/>
        <c:crossAx val="189010315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70243875765529307"/>
          <c:y val="0.38206510644502772"/>
          <c:w val="0.27290026246719162"/>
          <c:h val="6.791890571992408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50" b="0" i="0" u="none" strike="noStrike" kern="1200" baseline="0">
              <a:solidFill>
                <a:schemeClr val="tx1"/>
              </a:solidFill>
              <a:latin typeface="Lato Black" panose="020F0A02020204030203" pitchFamily="34" charset="0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accent5">
        <a:lumMod val="40000"/>
        <a:lumOff val="60000"/>
      </a:schemeClr>
    </a:solidFill>
    <a:ln w="9525" cap="flat" cmpd="sng" algn="ctr">
      <a:noFill/>
      <a:round/>
    </a:ln>
    <a:effectLst>
      <a:outerShdw blurRad="40000" dist="23000" dir="5400000" rotWithShape="0">
        <a:srgbClr val="000000">
          <a:alpha val="35000"/>
        </a:srgbClr>
      </a:outerShdw>
    </a:effectLst>
    <a:scene3d>
      <a:camera prst="orthographicFront">
        <a:rot lat="0" lon="0" rev="0"/>
      </a:camera>
      <a:lightRig rig="threePt" dir="t">
        <a:rot lat="0" lon="0" rev="1200000"/>
      </a:lightRig>
    </a:scene3d>
    <a:sp3d>
      <a:bevelT w="63500" h="25400"/>
    </a:sp3d>
  </c:spPr>
  <c:txPr>
    <a:bodyPr/>
    <a:lstStyle/>
    <a:p>
      <a:pPr>
        <a:defRPr sz="1050">
          <a:solidFill>
            <a:schemeClr val="tx1"/>
          </a:solidFill>
          <a:latin typeface="Lato Black" panose="020F0A02020204030203" pitchFamily="34" charset="0"/>
          <a:ea typeface="+mn-ea"/>
          <a:cs typeface="+mn-cs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Ex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_xlchart.v1.0</cx:f>
      </cx:strDim>
      <cx:numDim type="size">
        <cx:f>_xlchart.v1.1</cx:f>
      </cx:numDim>
    </cx:data>
  </cx:chartData>
  <cx:chart>
    <cx:title pos="t" align="ctr" overlay="0">
      <cx:tx>
        <cx:rich>
          <a:bodyPr vertOverflow="overflow" horzOverflow="overflow" wrap="square" lIns="0" tIns="0" rIns="0" bIns="0"/>
          <a:lstStyle/>
          <a:p>
            <a:pPr rtl="0">
              <a:defRPr sz="1600">
                <a:solidFill>
                  <a:schemeClr val="tx1"/>
                </a:solidFill>
                <a:latin typeface="Lato Black" panose="020F0A02020204030203" pitchFamily="34" charset="0"/>
                <a:ea typeface="Lato Black" panose="020F0A02020204030203" pitchFamily="34" charset="0"/>
                <a:cs typeface="Lato Black" panose="020F0A02020204030203" pitchFamily="34" charset="0"/>
              </a:defRPr>
            </a:pPr>
            <a:r>
              <a:rPr lang="en-IN" sz="1600" b="0" i="0" baseline="0">
                <a:solidFill>
                  <a:schemeClr val="tx1"/>
                </a:solidFill>
                <a:effectLst/>
                <a:latin typeface="Lato Black" panose="020F0A02020204030203" pitchFamily="34" charset="0"/>
              </a:rPr>
              <a:t>Gender-wise Distribution of MAM Cases in Udupi Taluk</a:t>
            </a:r>
            <a:endParaRPr lang="en-IN" sz="1600">
              <a:solidFill>
                <a:schemeClr val="tx1"/>
              </a:solidFill>
              <a:effectLst/>
              <a:latin typeface="Lato Black" panose="020F0A02020204030203" pitchFamily="34" charset="0"/>
            </a:endParaRPr>
          </a:p>
        </cx:rich>
      </cx:tx>
    </cx:title>
    <cx:plotArea>
      <cx:plotAreaRegion>
        <cx:series layoutId="treemap" uniqueId="{003597D9-4110-4BC0-B869-C7717C37BB74}">
          <cx:spPr>
            <a:gradFill>
              <a:gsLst>
                <a:gs pos="0">
                  <a:schemeClr val="accent1">
                    <a:lumMod val="5000"/>
                    <a:lumOff val="95000"/>
                  </a:schemeClr>
                </a:gs>
                <a:gs pos="74000">
                  <a:schemeClr val="accent1">
                    <a:lumMod val="45000"/>
                    <a:lumOff val="55000"/>
                  </a:schemeClr>
                </a:gs>
                <a:gs pos="83000">
                  <a:schemeClr val="accent1">
                    <a:lumMod val="45000"/>
                    <a:lumOff val="55000"/>
                  </a:schemeClr>
                </a:gs>
                <a:gs pos="100000">
                  <a:schemeClr val="accent1">
                    <a:lumMod val="30000"/>
                    <a:lumOff val="70000"/>
                  </a:schemeClr>
                </a:gs>
              </a:gsLst>
              <a:lin ang="5400000" scaled="1"/>
            </a:gradFill>
            <a:ln>
              <a:noFill/>
            </a:ln>
          </cx:spPr>
          <cx:dataPt idx="0">
            <cx:spPr>
              <a:gradFill>
                <a:gsLst>
                  <a:gs pos="0">
                    <a:srgbClr val="00B0F0"/>
                  </a:gs>
                  <a:gs pos="100000">
                    <a:srgbClr val="0070C0"/>
                  </a:gs>
                </a:gsLst>
              </a:gradFill>
              <a:ln w="19050">
                <a:solidFill>
                  <a:srgbClr val="002060"/>
                </a:solidFill>
              </a:ln>
            </cx:spPr>
          </cx:dataPt>
          <cx:dataPt idx="1">
            <cx:spPr>
              <a:gradFill>
                <a:gsLst>
                  <a:gs pos="0">
                    <a:srgbClr val="FF99FF"/>
                  </a:gs>
                  <a:gs pos="100000">
                    <a:srgbClr val="CC00CC"/>
                  </a:gs>
                </a:gsLst>
              </a:gradFill>
              <a:ln w="19050">
                <a:solidFill>
                  <a:srgbClr val="CC00CC"/>
                </a:solidFill>
              </a:ln>
            </cx:spPr>
          </cx:dataPt>
          <cx:dataLabels pos="inEnd">
            <cx:txPr>
              <a:bodyPr vertOverflow="overflow" horzOverflow="overflow" wrap="square" lIns="0" tIns="0" rIns="0" bIns="0"/>
              <a:lstStyle/>
              <a:p>
                <a:pPr algn="ctr" rtl="0">
                  <a:defRPr sz="1050" b="1" i="0">
                    <a:solidFill>
                      <a:schemeClr val="tx1"/>
                    </a:solidFill>
                    <a:latin typeface="Lato Black" panose="020F0A02020204030203" pitchFamily="34" charset="0"/>
                    <a:ea typeface="Lato Black" panose="020F0A02020204030203" pitchFamily="34" charset="0"/>
                    <a:cs typeface="Lato Black" panose="020F0A02020204030203" pitchFamily="34" charset="0"/>
                  </a:defRPr>
                </a:pPr>
                <a:endParaRPr lang="en-IN" sz="1050">
                  <a:solidFill>
                    <a:schemeClr val="tx1"/>
                  </a:solidFill>
                  <a:latin typeface="Lato Black" panose="020F0A02020204030203" pitchFamily="34" charset="0"/>
                </a:endParaRPr>
              </a:p>
            </cx:txPr>
            <cx:visibility seriesName="0" categoryName="1" value="1"/>
            <cx:separator>, </cx:separator>
          </cx:dataLabels>
          <cx:dataId val="0"/>
          <cx:layoutPr>
            <cx:parentLabelLayout val="overlapping"/>
          </cx:layoutPr>
        </cx:series>
      </cx:plotAreaRegion>
    </cx:plotArea>
    <cx:legend pos="t" align="ctr" overlay="0">
      <cx:spPr>
        <a:noFill/>
        <a:ln>
          <a:noFill/>
        </a:ln>
      </cx:spPr>
      <cx:txPr>
        <a:bodyPr vertOverflow="overflow" horzOverflow="overflow" wrap="square" lIns="0" tIns="0" rIns="0" bIns="0"/>
        <a:lstStyle/>
        <a:p>
          <a:pPr algn="ctr" rtl="0">
            <a:defRPr sz="1050" b="0" i="0">
              <a:solidFill>
                <a:schemeClr val="tx1"/>
              </a:solidFill>
              <a:latin typeface="Lato Black" panose="020F0A02020204030203" pitchFamily="34" charset="0"/>
              <a:ea typeface="Lato Black" panose="020F0A02020204030203" pitchFamily="34" charset="0"/>
              <a:cs typeface="Lato Black" panose="020F0A02020204030203" pitchFamily="34" charset="0"/>
            </a:defRPr>
          </a:pPr>
          <a:endParaRPr lang="en-IN" sz="1050">
            <a:solidFill>
              <a:schemeClr val="tx1"/>
            </a:solidFill>
            <a:latin typeface="Lato Black" panose="020F0A02020204030203" pitchFamily="34" charset="0"/>
          </a:endParaRPr>
        </a:p>
      </cx:txPr>
    </cx:legend>
  </cx:chart>
  <cx:spPr>
    <a:solidFill>
      <a:schemeClr val="accent5">
        <a:lumMod val="40000"/>
        <a:lumOff val="60000"/>
      </a:schemeClr>
    </a:solidFill>
    <a:ln>
      <a:noFill/>
    </a:ln>
    <a:effectLst>
      <a:outerShdw blurRad="40000" dist="23000" dir="5400000" rotWithShape="0">
        <a:srgbClr val="000000">
          <a:alpha val="35000"/>
        </a:srgbClr>
      </a:outerShdw>
    </a:effectLst>
    <a:scene3d>
      <a:camera prst="orthographicFront">
        <a:rot lat="0" lon="0" rev="0"/>
      </a:camera>
      <a:lightRig rig="threePt" dir="t">
        <a:rot lat="0" lon="0" rev="1200000"/>
      </a:lightRig>
    </a:scene3d>
    <a:sp3d>
      <a:bevelT w="63500" h="25400"/>
    </a:sp3d>
  </cx:spPr>
</cx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8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scene3d>
        <a:camera prst="orthographicFront"/>
        <a:lightRig rig="brightRoom" dir="t"/>
      </a:scene3d>
      <a:sp3d prstMaterial="flat">
        <a:bevelT w="50800" h="101600" prst="angle"/>
        <a:contourClr>
          <a:srgbClr val="000000"/>
        </a:contourClr>
      </a:sp3d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1905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1" i="0" kern="1200" cap="all" spc="5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417">
  <cs:axisTitle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bg1">
          <a:lumMod val="65000"/>
        </a:schemeClr>
      </a:solidFill>
      <a:ln>
        <a:solidFill>
          <a:schemeClr val="bg1"/>
        </a:solidFill>
      </a:ln>
    </cs:spPr>
    <cs:defRPr sz="900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defRPr sz="900"/>
  </cs:categoryAxis>
  <cs:chartArea>
    <cs:lnRef idx="0"/>
    <cs:fillRef idx="0"/>
    <cs:effectRef idx="0"/>
    <cs:fontRef idx="minor">
      <a:schemeClr val="dk1"/>
    </cs:fontRef>
    <cs:spPr>
      <a:pattFill prst="dkDnDiag">
        <a:fgClr>
          <a:schemeClr val="lt1">
            <a:lumMod val="95000"/>
          </a:schemeClr>
        </a:fgClr>
        <a:bgClr>
          <a:schemeClr val="lt1"/>
        </a:bgClr>
      </a:patt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/>
  </cs:chartArea>
  <cs:dataLabel>
    <cs:lnRef idx="0"/>
    <cs:fillRef idx="0"/>
    <cs:effectRef idx="0"/>
    <cs:fontRef idx="minor">
      <a:schemeClr val="lt1"/>
    </cs:fontRef>
    <cs:defRPr sz="900" b="1"/>
    <cs:bodyPr lIns="38100" tIns="19050" rIns="38100" bIns="19050">
      <a:spAutoFit/>
    </cs:bodyPr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>
          <a:alpha val="75000"/>
        </a:schemeClr>
      </a:solidFill>
      <a:ln w="9525"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lt1"/>
        </a:solidFill>
      </a:ln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88900" sx="102000" sy="102000" algn="ctr" rotWithShape="0">
          <a:prstClr val="black">
            <a:alpha val="20000"/>
          </a:prstClr>
        </a:outerShdw>
      </a:effectLst>
      <a:scene3d>
        <a:camera prst="orthographicFront"/>
        <a:lightRig rig="threePt" dir="t"/>
      </a:scene3d>
      <a:sp3d prstMaterial="matte"/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800" kern="1200"/>
  </cs:dataTable>
  <cs:downBar>
    <cs:lnRef idx="0"/>
    <cs:fillRef idx="0"/>
    <cs:effectRef idx="0"/>
    <cs:fontRef idx="minor">
      <a:schemeClr val="dk1"/>
    </cs:fontRef>
    <cs:spPr>
      <a:solidFill>
        <a:schemeClr val="dk1"/>
      </a:solidFill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"/>
            <a:lumOff val="95000"/>
            <a:lumOff val="10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>
          <a:alpha val="78000"/>
        </a:schemeClr>
      </a:solidFill>
    </cs:spPr>
    <cs:defRPr sz="9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defRPr sz="900"/>
  </cs:seriesAxis>
  <cs:seriesLine>
    <cs:lnRef idx="0"/>
    <cs:fillRef idx="0"/>
    <cs:effectRef idx="0"/>
    <cs:fontRef idx="minor">
      <a:schemeClr val="dk1"/>
    </cs:fontRef>
    <cs:spPr>
      <a:ln w="9525" cap="flat">
        <a:solidFill>
          <a:schemeClr val="bg1">
            <a:lumMod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65000"/>
        <a:lumOff val="35000"/>
      </a:schemeClr>
    </cs:fontRef>
    <cs:defRPr sz="1800" b="1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chart" Target="../charts/chart3.xml"/><Relationship Id="rId3" Type="http://schemas.openxmlformats.org/officeDocument/2006/relationships/image" Target="../media/image1.png"/><Relationship Id="rId7" Type="http://schemas.openxmlformats.org/officeDocument/2006/relationships/image" Target="../media/image5.jpeg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image" Target="../media/image4.svg"/><Relationship Id="rId5" Type="http://schemas.openxmlformats.org/officeDocument/2006/relationships/image" Target="../media/image3.png"/><Relationship Id="rId4" Type="http://schemas.openxmlformats.org/officeDocument/2006/relationships/image" Target="../media/image2.svg"/><Relationship Id="rId9" Type="http://schemas.microsoft.com/office/2014/relationships/chartEx" Target="../charts/chartEx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220275</xdr:colOff>
      <xdr:row>0</xdr:row>
      <xdr:rowOff>38193</xdr:rowOff>
    </xdr:from>
    <xdr:to>
      <xdr:col>13</xdr:col>
      <xdr:colOff>97508</xdr:colOff>
      <xdr:row>4</xdr:row>
      <xdr:rowOff>16933</xdr:rowOff>
    </xdr:to>
    <xdr:sp macro="" textlink="">
      <xdr:nvSpPr>
        <xdr:cNvPr id="2" name="Rectangle: Rounded Corners 1">
          <a:extLst>
            <a:ext uri="{FF2B5EF4-FFF2-40B4-BE49-F238E27FC236}">
              <a16:creationId xmlns:a16="http://schemas.microsoft.com/office/drawing/2014/main" id="{015193C9-B4CA-7F82-F835-06C9D8D7227E}"/>
            </a:ext>
          </a:extLst>
        </xdr:cNvPr>
        <xdr:cNvSpPr/>
      </xdr:nvSpPr>
      <xdr:spPr>
        <a:xfrm>
          <a:off x="829875" y="38193"/>
          <a:ext cx="7192433" cy="723807"/>
        </a:xfrm>
        <a:prstGeom prst="roundRect">
          <a:avLst/>
        </a:prstGeom>
        <a:solidFill>
          <a:schemeClr val="accent5">
            <a:lumMod val="20000"/>
            <a:lumOff val="80000"/>
          </a:schemeClr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IN" sz="3200" b="1" u="sng">
              <a:solidFill>
                <a:schemeClr val="tx1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Moderate Acute Malnutrition</a:t>
          </a:r>
          <a:r>
            <a:rPr lang="en-IN" sz="3200" b="1" u="sng" baseline="0">
              <a:solidFill>
                <a:schemeClr val="tx1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 Report</a:t>
          </a:r>
          <a:endParaRPr lang="en-IN" sz="3200" b="1" u="sng">
            <a:solidFill>
              <a:schemeClr val="tx1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13</xdr:col>
      <xdr:colOff>140829</xdr:colOff>
      <xdr:row>0</xdr:row>
      <xdr:rowOff>42897</xdr:rowOff>
    </xdr:from>
    <xdr:to>
      <xdr:col>15</xdr:col>
      <xdr:colOff>598029</xdr:colOff>
      <xdr:row>4</xdr:row>
      <xdr:rowOff>33866</xdr:rowOff>
    </xdr:to>
    <xdr:sp macro="" textlink="">
      <xdr:nvSpPr>
        <xdr:cNvPr id="3" name="Rectangle: Rounded Corners 2">
          <a:extLst>
            <a:ext uri="{FF2B5EF4-FFF2-40B4-BE49-F238E27FC236}">
              <a16:creationId xmlns:a16="http://schemas.microsoft.com/office/drawing/2014/main" id="{7D19BDDA-2CB6-4FF0-951D-43803B874834}"/>
            </a:ext>
          </a:extLst>
        </xdr:cNvPr>
        <xdr:cNvSpPr/>
      </xdr:nvSpPr>
      <xdr:spPr>
        <a:xfrm>
          <a:off x="8065629" y="42897"/>
          <a:ext cx="1676400" cy="736036"/>
        </a:xfrm>
        <a:prstGeom prst="roundRect">
          <a:avLst/>
        </a:prstGeom>
        <a:solidFill>
          <a:schemeClr val="accent5">
            <a:lumMod val="20000"/>
            <a:lumOff val="80000"/>
          </a:schemeClr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16</xdr:col>
      <xdr:colOff>31750</xdr:colOff>
      <xdr:row>0</xdr:row>
      <xdr:rowOff>40170</xdr:rowOff>
    </xdr:from>
    <xdr:to>
      <xdr:col>18</xdr:col>
      <xdr:colOff>488950</xdr:colOff>
      <xdr:row>4</xdr:row>
      <xdr:rowOff>33866</xdr:rowOff>
    </xdr:to>
    <xdr:sp macro="" textlink="">
      <xdr:nvSpPr>
        <xdr:cNvPr id="4" name="Rectangle: Rounded Corners 3">
          <a:extLst>
            <a:ext uri="{FF2B5EF4-FFF2-40B4-BE49-F238E27FC236}">
              <a16:creationId xmlns:a16="http://schemas.microsoft.com/office/drawing/2014/main" id="{86BA9517-822A-46D6-AC89-27017335DA06}"/>
            </a:ext>
          </a:extLst>
        </xdr:cNvPr>
        <xdr:cNvSpPr/>
      </xdr:nvSpPr>
      <xdr:spPr>
        <a:xfrm>
          <a:off x="9785350" y="40170"/>
          <a:ext cx="1676400" cy="738763"/>
        </a:xfrm>
        <a:prstGeom prst="roundRect">
          <a:avLst/>
        </a:prstGeom>
        <a:solidFill>
          <a:schemeClr val="accent5">
            <a:lumMod val="20000"/>
            <a:lumOff val="80000"/>
          </a:schemeClr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18</xdr:col>
      <xdr:colOff>532271</xdr:colOff>
      <xdr:row>0</xdr:row>
      <xdr:rowOff>48260</xdr:rowOff>
    </xdr:from>
    <xdr:to>
      <xdr:col>21</xdr:col>
      <xdr:colOff>379871</xdr:colOff>
      <xdr:row>4</xdr:row>
      <xdr:rowOff>42333</xdr:rowOff>
    </xdr:to>
    <xdr:sp macro="" textlink="">
      <xdr:nvSpPr>
        <xdr:cNvPr id="5" name="Rectangle: Rounded Corners 4">
          <a:extLst>
            <a:ext uri="{FF2B5EF4-FFF2-40B4-BE49-F238E27FC236}">
              <a16:creationId xmlns:a16="http://schemas.microsoft.com/office/drawing/2014/main" id="{8A1BBDF1-E798-4632-94F9-1A56C8F81609}"/>
            </a:ext>
          </a:extLst>
        </xdr:cNvPr>
        <xdr:cNvSpPr/>
      </xdr:nvSpPr>
      <xdr:spPr>
        <a:xfrm>
          <a:off x="11505071" y="48260"/>
          <a:ext cx="1676400" cy="739140"/>
        </a:xfrm>
        <a:prstGeom prst="roundRect">
          <a:avLst/>
        </a:prstGeom>
        <a:solidFill>
          <a:schemeClr val="accent5">
            <a:lumMod val="20000"/>
            <a:lumOff val="80000"/>
          </a:schemeClr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21</xdr:col>
      <xdr:colOff>423192</xdr:colOff>
      <xdr:row>0</xdr:row>
      <xdr:rowOff>36595</xdr:rowOff>
    </xdr:from>
    <xdr:to>
      <xdr:col>24</xdr:col>
      <xdr:colOff>270792</xdr:colOff>
      <xdr:row>4</xdr:row>
      <xdr:rowOff>33866</xdr:rowOff>
    </xdr:to>
    <xdr:sp macro="" textlink="">
      <xdr:nvSpPr>
        <xdr:cNvPr id="6" name="Rectangle: Rounded Corners 5">
          <a:extLst>
            <a:ext uri="{FF2B5EF4-FFF2-40B4-BE49-F238E27FC236}">
              <a16:creationId xmlns:a16="http://schemas.microsoft.com/office/drawing/2014/main" id="{00931210-2410-4EDB-B052-F0B7E91411DA}"/>
            </a:ext>
          </a:extLst>
        </xdr:cNvPr>
        <xdr:cNvSpPr/>
      </xdr:nvSpPr>
      <xdr:spPr>
        <a:xfrm>
          <a:off x="13224792" y="36595"/>
          <a:ext cx="1676400" cy="742338"/>
        </a:xfrm>
        <a:prstGeom prst="roundRect">
          <a:avLst/>
        </a:prstGeom>
        <a:solidFill>
          <a:schemeClr val="accent5">
            <a:lumMod val="20000"/>
            <a:lumOff val="80000"/>
          </a:schemeClr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24</xdr:col>
      <xdr:colOff>314112</xdr:colOff>
      <xdr:row>0</xdr:row>
      <xdr:rowOff>25305</xdr:rowOff>
    </xdr:from>
    <xdr:to>
      <xdr:col>25</xdr:col>
      <xdr:colOff>491066</xdr:colOff>
      <xdr:row>4</xdr:row>
      <xdr:rowOff>42333</xdr:rowOff>
    </xdr:to>
    <xdr:sp macro="" textlink="">
      <xdr:nvSpPr>
        <xdr:cNvPr id="7" name="Rectangle: Rounded Corners 6">
          <a:extLst>
            <a:ext uri="{FF2B5EF4-FFF2-40B4-BE49-F238E27FC236}">
              <a16:creationId xmlns:a16="http://schemas.microsoft.com/office/drawing/2014/main" id="{F8E61D03-9656-4E8A-8A25-59C164DDC14C}"/>
            </a:ext>
          </a:extLst>
        </xdr:cNvPr>
        <xdr:cNvSpPr/>
      </xdr:nvSpPr>
      <xdr:spPr>
        <a:xfrm>
          <a:off x="14944512" y="25305"/>
          <a:ext cx="786554" cy="762095"/>
        </a:xfrm>
        <a:prstGeom prst="roundRect">
          <a:avLst/>
        </a:prstGeom>
        <a:solidFill>
          <a:schemeClr val="accent5">
            <a:lumMod val="20000"/>
            <a:lumOff val="80000"/>
          </a:schemeClr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0</xdr:col>
      <xdr:colOff>0</xdr:colOff>
      <xdr:row>0</xdr:row>
      <xdr:rowOff>20601</xdr:rowOff>
    </xdr:from>
    <xdr:to>
      <xdr:col>1</xdr:col>
      <xdr:colOff>176954</xdr:colOff>
      <xdr:row>4</xdr:row>
      <xdr:rowOff>33866</xdr:rowOff>
    </xdr:to>
    <xdr:sp macro="" textlink="">
      <xdr:nvSpPr>
        <xdr:cNvPr id="8" name="Rectangle: Rounded Corners 7">
          <a:extLst>
            <a:ext uri="{FF2B5EF4-FFF2-40B4-BE49-F238E27FC236}">
              <a16:creationId xmlns:a16="http://schemas.microsoft.com/office/drawing/2014/main" id="{7B594F6E-2A81-41B9-9E11-E973B97B4D84}"/>
            </a:ext>
          </a:extLst>
        </xdr:cNvPr>
        <xdr:cNvSpPr/>
      </xdr:nvSpPr>
      <xdr:spPr>
        <a:xfrm>
          <a:off x="0" y="20601"/>
          <a:ext cx="786554" cy="758332"/>
        </a:xfrm>
        <a:prstGeom prst="roundRect">
          <a:avLst/>
        </a:prstGeom>
        <a:solidFill>
          <a:schemeClr val="accent5">
            <a:lumMod val="20000"/>
            <a:lumOff val="80000"/>
          </a:schemeClr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10</xdr:col>
      <xdr:colOff>389466</xdr:colOff>
      <xdr:row>4</xdr:row>
      <xdr:rowOff>149437</xdr:rowOff>
    </xdr:from>
    <xdr:to>
      <xdr:col>18</xdr:col>
      <xdr:colOff>62653</xdr:colOff>
      <xdr:row>22</xdr:row>
      <xdr:rowOff>118533</xdr:rowOff>
    </xdr:to>
    <xdr:graphicFrame macro="">
      <xdr:nvGraphicFramePr>
        <xdr:cNvPr id="16" name="Chart 1">
          <a:extLst>
            <a:ext uri="{FF2B5EF4-FFF2-40B4-BE49-F238E27FC236}">
              <a16:creationId xmlns:a16="http://schemas.microsoft.com/office/drawing/2014/main" id="{23902AA4-6D77-CE1D-1F47-9825800103D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18</xdr:col>
      <xdr:colOff>181187</xdr:colOff>
      <xdr:row>4</xdr:row>
      <xdr:rowOff>141815</xdr:rowOff>
    </xdr:from>
    <xdr:to>
      <xdr:col>25</xdr:col>
      <xdr:colOff>482601</xdr:colOff>
      <xdr:row>22</xdr:row>
      <xdr:rowOff>143933</xdr:rowOff>
    </xdr:to>
    <xdr:graphicFrame macro="">
      <xdr:nvGraphicFramePr>
        <xdr:cNvPr id="17" name="Chart 3">
          <a:extLst>
            <a:ext uri="{FF2B5EF4-FFF2-40B4-BE49-F238E27FC236}">
              <a16:creationId xmlns:a16="http://schemas.microsoft.com/office/drawing/2014/main" id="{620662A3-8CE3-5BE6-6282-F6C6ED04B16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0</xdr:col>
      <xdr:colOff>50800</xdr:colOff>
      <xdr:row>0</xdr:row>
      <xdr:rowOff>0</xdr:rowOff>
    </xdr:from>
    <xdr:to>
      <xdr:col>1</xdr:col>
      <xdr:colOff>152400</xdr:colOff>
      <xdr:row>4</xdr:row>
      <xdr:rowOff>8465</xdr:rowOff>
    </xdr:to>
    <xdr:pic>
      <xdr:nvPicPr>
        <xdr:cNvPr id="19" name="Graphic 18" descr="Earth Globe - Asia with solid fill">
          <a:extLst>
            <a:ext uri="{FF2B5EF4-FFF2-40B4-BE49-F238E27FC236}">
              <a16:creationId xmlns:a16="http://schemas.microsoft.com/office/drawing/2014/main" id="{1842DD31-F4B5-D329-0A6E-B431E4465DA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96DAC541-7B7A-43D3-8B79-37D633B846F1}">
              <asvg:svgBlip xmlns:asvg="http://schemas.microsoft.com/office/drawing/2016/SVG/main" r:embed="rId4"/>
            </a:ext>
          </a:extLst>
        </a:blip>
        <a:stretch>
          <a:fillRect/>
        </a:stretch>
      </xdr:blipFill>
      <xdr:spPr>
        <a:xfrm>
          <a:off x="50800" y="0"/>
          <a:ext cx="711200" cy="753532"/>
        </a:xfrm>
        <a:prstGeom prst="rect">
          <a:avLst/>
        </a:prstGeom>
      </xdr:spPr>
    </xdr:pic>
    <xdr:clientData/>
  </xdr:twoCellAnchor>
  <xdr:twoCellAnchor editAs="oneCell">
    <xdr:from>
      <xdr:col>24</xdr:col>
      <xdr:colOff>381000</xdr:colOff>
      <xdr:row>0</xdr:row>
      <xdr:rowOff>0</xdr:rowOff>
    </xdr:from>
    <xdr:to>
      <xdr:col>25</xdr:col>
      <xdr:colOff>440267</xdr:colOff>
      <xdr:row>4</xdr:row>
      <xdr:rowOff>42333</xdr:rowOff>
    </xdr:to>
    <xdr:pic>
      <xdr:nvPicPr>
        <xdr:cNvPr id="21" name="Graphic 20" descr="Gender with solid fill">
          <a:extLst>
            <a:ext uri="{FF2B5EF4-FFF2-40B4-BE49-F238E27FC236}">
              <a16:creationId xmlns:a16="http://schemas.microsoft.com/office/drawing/2014/main" id="{42DBE1E2-FBDC-4360-F603-7F2B1E35743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>
          <a:extLst>
            <a:ext uri="{96DAC541-7B7A-43D3-8B79-37D633B846F1}">
              <asvg:svgBlip xmlns:asvg="http://schemas.microsoft.com/office/drawing/2016/SVG/main" r:embed="rId6"/>
            </a:ext>
          </a:extLst>
        </a:blip>
        <a:stretch>
          <a:fillRect/>
        </a:stretch>
      </xdr:blipFill>
      <xdr:spPr>
        <a:xfrm>
          <a:off x="15011400" y="0"/>
          <a:ext cx="668867" cy="787400"/>
        </a:xfrm>
        <a:prstGeom prst="rect">
          <a:avLst/>
        </a:prstGeom>
      </xdr:spPr>
    </xdr:pic>
    <xdr:clientData/>
  </xdr:twoCellAnchor>
  <xdr:twoCellAnchor editAs="oneCell">
    <xdr:from>
      <xdr:col>0</xdr:col>
      <xdr:colOff>67734</xdr:colOff>
      <xdr:row>4</xdr:row>
      <xdr:rowOff>127000</xdr:rowOff>
    </xdr:from>
    <xdr:to>
      <xdr:col>10</xdr:col>
      <xdr:colOff>330200</xdr:colOff>
      <xdr:row>41</xdr:row>
      <xdr:rowOff>127000</xdr:rowOff>
    </xdr:to>
    <xdr:pic>
      <xdr:nvPicPr>
        <xdr:cNvPr id="23" name="Picture 22">
          <a:extLst>
            <a:ext uri="{FF2B5EF4-FFF2-40B4-BE49-F238E27FC236}">
              <a16:creationId xmlns:a16="http://schemas.microsoft.com/office/drawing/2014/main" id="{1327DDE2-85C4-B102-B085-BF037F39AEA1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499" r="2558"/>
        <a:stretch/>
      </xdr:blipFill>
      <xdr:spPr>
        <a:xfrm>
          <a:off x="67734" y="872067"/>
          <a:ext cx="6358466" cy="6891866"/>
        </a:xfrm>
        <a:prstGeom prst="rect">
          <a:avLst/>
        </a:prstGeom>
      </xdr:spPr>
    </xdr:pic>
    <xdr:clientData/>
  </xdr:twoCellAnchor>
  <xdr:twoCellAnchor>
    <xdr:from>
      <xdr:col>10</xdr:col>
      <xdr:colOff>397934</xdr:colOff>
      <xdr:row>23</xdr:row>
      <xdr:rowOff>0</xdr:rowOff>
    </xdr:from>
    <xdr:to>
      <xdr:col>18</xdr:col>
      <xdr:colOff>93134</xdr:colOff>
      <xdr:row>41</xdr:row>
      <xdr:rowOff>101599</xdr:rowOff>
    </xdr:to>
    <xdr:graphicFrame macro="">
      <xdr:nvGraphicFramePr>
        <xdr:cNvPr id="24" name="Chart 1">
          <a:extLst>
            <a:ext uri="{FF2B5EF4-FFF2-40B4-BE49-F238E27FC236}">
              <a16:creationId xmlns:a16="http://schemas.microsoft.com/office/drawing/2014/main" id="{1A080FCD-D11D-4328-8D79-220ED9BC076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18</xdr:col>
      <xdr:colOff>168488</xdr:colOff>
      <xdr:row>23</xdr:row>
      <xdr:rowOff>16934</xdr:rowOff>
    </xdr:from>
    <xdr:to>
      <xdr:col>25</xdr:col>
      <xdr:colOff>473288</xdr:colOff>
      <xdr:row>41</xdr:row>
      <xdr:rowOff>84668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25" name="Chart 1">
              <a:extLst>
                <a:ext uri="{FF2B5EF4-FFF2-40B4-BE49-F238E27FC236}">
                  <a16:creationId xmlns:a16="http://schemas.microsoft.com/office/drawing/2014/main" id="{951E6697-075A-7B54-5698-34155D75B03B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9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1141288" y="4223174"/>
              <a:ext cx="4572000" cy="3359574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IN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  <xdr:twoCellAnchor>
    <xdr:from>
      <xdr:col>13</xdr:col>
      <xdr:colOff>118534</xdr:colOff>
      <xdr:row>0</xdr:row>
      <xdr:rowOff>16933</xdr:rowOff>
    </xdr:from>
    <xdr:to>
      <xdr:col>15</xdr:col>
      <xdr:colOff>414867</xdr:colOff>
      <xdr:row>2</xdr:row>
      <xdr:rowOff>118533</xdr:rowOff>
    </xdr:to>
    <xdr:sp macro="" textlink="">
      <xdr:nvSpPr>
        <xdr:cNvPr id="28" name="TextBox 27">
          <a:extLst>
            <a:ext uri="{FF2B5EF4-FFF2-40B4-BE49-F238E27FC236}">
              <a16:creationId xmlns:a16="http://schemas.microsoft.com/office/drawing/2014/main" id="{55117240-C423-6A34-3A38-E9338DCD1F85}"/>
            </a:ext>
          </a:extLst>
        </xdr:cNvPr>
        <xdr:cNvSpPr txBox="1"/>
      </xdr:nvSpPr>
      <xdr:spPr>
        <a:xfrm>
          <a:off x="8043334" y="16933"/>
          <a:ext cx="1515533" cy="474133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l"/>
          <a:r>
            <a:rPr lang="en-IN" sz="1200">
              <a:solidFill>
                <a:schemeClr val="tx1"/>
              </a:solidFill>
              <a:latin typeface="Lato Black" panose="020F0A02020204030203" pitchFamily="34" charset="0"/>
            </a:rPr>
            <a:t>UDUPI DISTRICT MAM CASES</a:t>
          </a:r>
        </a:p>
      </xdr:txBody>
    </xdr:sp>
    <xdr:clientData/>
  </xdr:twoCellAnchor>
  <xdr:twoCellAnchor>
    <xdr:from>
      <xdr:col>16</xdr:col>
      <xdr:colOff>25400</xdr:colOff>
      <xdr:row>0</xdr:row>
      <xdr:rowOff>16933</xdr:rowOff>
    </xdr:from>
    <xdr:to>
      <xdr:col>18</xdr:col>
      <xdr:colOff>321733</xdr:colOff>
      <xdr:row>2</xdr:row>
      <xdr:rowOff>118533</xdr:rowOff>
    </xdr:to>
    <xdr:sp macro="" textlink="">
      <xdr:nvSpPr>
        <xdr:cNvPr id="29" name="TextBox 28">
          <a:extLst>
            <a:ext uri="{FF2B5EF4-FFF2-40B4-BE49-F238E27FC236}">
              <a16:creationId xmlns:a16="http://schemas.microsoft.com/office/drawing/2014/main" id="{1E2A632E-CD1A-4F56-A5AE-65F30A774109}"/>
            </a:ext>
          </a:extLst>
        </xdr:cNvPr>
        <xdr:cNvSpPr txBox="1"/>
      </xdr:nvSpPr>
      <xdr:spPr>
        <a:xfrm>
          <a:off x="9779000" y="16933"/>
          <a:ext cx="1515533" cy="474133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l"/>
          <a:r>
            <a:rPr lang="en-IN" sz="1200">
              <a:solidFill>
                <a:schemeClr val="tx1"/>
              </a:solidFill>
              <a:latin typeface="Lato Black" panose="020F0A02020204030203" pitchFamily="34" charset="0"/>
            </a:rPr>
            <a:t>KARKAL TALUK MAM CASES</a:t>
          </a:r>
        </a:p>
      </xdr:txBody>
    </xdr:sp>
    <xdr:clientData/>
  </xdr:twoCellAnchor>
  <xdr:twoCellAnchor>
    <xdr:from>
      <xdr:col>18</xdr:col>
      <xdr:colOff>541868</xdr:colOff>
      <xdr:row>0</xdr:row>
      <xdr:rowOff>0</xdr:rowOff>
    </xdr:from>
    <xdr:to>
      <xdr:col>21</xdr:col>
      <xdr:colOff>228601</xdr:colOff>
      <xdr:row>3</xdr:row>
      <xdr:rowOff>143934</xdr:rowOff>
    </xdr:to>
    <xdr:sp macro="" textlink="">
      <xdr:nvSpPr>
        <xdr:cNvPr id="30" name="TextBox 29">
          <a:extLst>
            <a:ext uri="{FF2B5EF4-FFF2-40B4-BE49-F238E27FC236}">
              <a16:creationId xmlns:a16="http://schemas.microsoft.com/office/drawing/2014/main" id="{79B815BF-6D68-462E-8388-51C7E56B82A2}"/>
            </a:ext>
          </a:extLst>
        </xdr:cNvPr>
        <xdr:cNvSpPr txBox="1"/>
      </xdr:nvSpPr>
      <xdr:spPr>
        <a:xfrm>
          <a:off x="11514668" y="0"/>
          <a:ext cx="1515533" cy="702734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l"/>
          <a:r>
            <a:rPr lang="en-IN" sz="1200">
              <a:solidFill>
                <a:schemeClr val="tx1"/>
              </a:solidFill>
              <a:latin typeface="Lato Black" panose="020F0A02020204030203" pitchFamily="34" charset="0"/>
            </a:rPr>
            <a:t>KUNDAPURA TALUK MAM CASES</a:t>
          </a:r>
        </a:p>
      </xdr:txBody>
    </xdr:sp>
    <xdr:clientData/>
  </xdr:twoCellAnchor>
  <xdr:twoCellAnchor>
    <xdr:from>
      <xdr:col>21</xdr:col>
      <xdr:colOff>397934</xdr:colOff>
      <xdr:row>0</xdr:row>
      <xdr:rowOff>0</xdr:rowOff>
    </xdr:from>
    <xdr:to>
      <xdr:col>24</xdr:col>
      <xdr:colOff>84667</xdr:colOff>
      <xdr:row>2</xdr:row>
      <xdr:rowOff>93134</xdr:rowOff>
    </xdr:to>
    <xdr:sp macro="" textlink="">
      <xdr:nvSpPr>
        <xdr:cNvPr id="31" name="TextBox 30">
          <a:extLst>
            <a:ext uri="{FF2B5EF4-FFF2-40B4-BE49-F238E27FC236}">
              <a16:creationId xmlns:a16="http://schemas.microsoft.com/office/drawing/2014/main" id="{38AD9FE3-ABDC-4236-AF8E-CAB4414EE1B7}"/>
            </a:ext>
          </a:extLst>
        </xdr:cNvPr>
        <xdr:cNvSpPr txBox="1"/>
      </xdr:nvSpPr>
      <xdr:spPr>
        <a:xfrm>
          <a:off x="13199534" y="0"/>
          <a:ext cx="1515533" cy="465667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l"/>
          <a:r>
            <a:rPr lang="en-IN" sz="1200">
              <a:solidFill>
                <a:schemeClr val="tx1"/>
              </a:solidFill>
              <a:latin typeface="Lato Black" panose="020F0A02020204030203" pitchFamily="34" charset="0"/>
            </a:rPr>
            <a:t>UDUPI TALUK MAM CASES</a:t>
          </a:r>
        </a:p>
      </xdr:txBody>
    </xdr:sp>
    <xdr:clientData/>
  </xdr:twoCellAnchor>
  <xdr:twoCellAnchor>
    <xdr:from>
      <xdr:col>14</xdr:col>
      <xdr:colOff>482600</xdr:colOff>
      <xdr:row>1</xdr:row>
      <xdr:rowOff>118535</xdr:rowOff>
    </xdr:from>
    <xdr:to>
      <xdr:col>15</xdr:col>
      <xdr:colOff>592667</xdr:colOff>
      <xdr:row>4</xdr:row>
      <xdr:rowOff>25401</xdr:rowOff>
    </xdr:to>
    <xdr:sp macro="" textlink="">
      <xdr:nvSpPr>
        <xdr:cNvPr id="32" name="TextBox 31">
          <a:extLst>
            <a:ext uri="{FF2B5EF4-FFF2-40B4-BE49-F238E27FC236}">
              <a16:creationId xmlns:a16="http://schemas.microsoft.com/office/drawing/2014/main" id="{816A4B39-B286-4256-D165-8CD8DB7AA5EA}"/>
            </a:ext>
          </a:extLst>
        </xdr:cNvPr>
        <xdr:cNvSpPr txBox="1"/>
      </xdr:nvSpPr>
      <xdr:spPr>
        <a:xfrm>
          <a:off x="9017000" y="304802"/>
          <a:ext cx="719667" cy="465666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n-IN" sz="2400">
              <a:latin typeface="Lato Black" panose="020F0A02020204030203" pitchFamily="34" charset="0"/>
            </a:rPr>
            <a:t>257</a:t>
          </a:r>
        </a:p>
      </xdr:txBody>
    </xdr:sp>
    <xdr:clientData/>
  </xdr:twoCellAnchor>
  <xdr:twoCellAnchor>
    <xdr:from>
      <xdr:col>17</xdr:col>
      <xdr:colOff>372533</xdr:colOff>
      <xdr:row>1</xdr:row>
      <xdr:rowOff>110068</xdr:rowOff>
    </xdr:from>
    <xdr:to>
      <xdr:col>18</xdr:col>
      <xdr:colOff>482600</xdr:colOff>
      <xdr:row>4</xdr:row>
      <xdr:rowOff>16934</xdr:rowOff>
    </xdr:to>
    <xdr:sp macro="" textlink="">
      <xdr:nvSpPr>
        <xdr:cNvPr id="33" name="TextBox 32">
          <a:extLst>
            <a:ext uri="{FF2B5EF4-FFF2-40B4-BE49-F238E27FC236}">
              <a16:creationId xmlns:a16="http://schemas.microsoft.com/office/drawing/2014/main" id="{17ADAEA7-EE79-4DB5-8FBB-47A4AA053CA9}"/>
            </a:ext>
          </a:extLst>
        </xdr:cNvPr>
        <xdr:cNvSpPr txBox="1"/>
      </xdr:nvSpPr>
      <xdr:spPr>
        <a:xfrm>
          <a:off x="10735733" y="296335"/>
          <a:ext cx="719667" cy="465666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n-IN" sz="2400">
              <a:latin typeface="Lato Black" panose="020F0A02020204030203" pitchFamily="34" charset="0"/>
            </a:rPr>
            <a:t>51</a:t>
          </a:r>
        </a:p>
      </xdr:txBody>
    </xdr:sp>
    <xdr:clientData/>
  </xdr:twoCellAnchor>
  <xdr:twoCellAnchor>
    <xdr:from>
      <xdr:col>20</xdr:col>
      <xdr:colOff>262466</xdr:colOff>
      <xdr:row>1</xdr:row>
      <xdr:rowOff>127001</xdr:rowOff>
    </xdr:from>
    <xdr:to>
      <xdr:col>21</xdr:col>
      <xdr:colOff>372533</xdr:colOff>
      <xdr:row>4</xdr:row>
      <xdr:rowOff>33867</xdr:rowOff>
    </xdr:to>
    <xdr:sp macro="" textlink="">
      <xdr:nvSpPr>
        <xdr:cNvPr id="34" name="TextBox 33">
          <a:extLst>
            <a:ext uri="{FF2B5EF4-FFF2-40B4-BE49-F238E27FC236}">
              <a16:creationId xmlns:a16="http://schemas.microsoft.com/office/drawing/2014/main" id="{3456556E-1CBE-46AF-B6B7-C0679E6B6EB8}"/>
            </a:ext>
          </a:extLst>
        </xdr:cNvPr>
        <xdr:cNvSpPr txBox="1"/>
      </xdr:nvSpPr>
      <xdr:spPr>
        <a:xfrm>
          <a:off x="12454466" y="313268"/>
          <a:ext cx="719667" cy="465666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n-IN" sz="2400">
              <a:latin typeface="Lato Black" panose="020F0A02020204030203" pitchFamily="34" charset="0"/>
            </a:rPr>
            <a:t>86</a:t>
          </a:r>
        </a:p>
      </xdr:txBody>
    </xdr:sp>
    <xdr:clientData/>
  </xdr:twoCellAnchor>
  <xdr:twoCellAnchor>
    <xdr:from>
      <xdr:col>23</xdr:col>
      <xdr:colOff>152399</xdr:colOff>
      <xdr:row>1</xdr:row>
      <xdr:rowOff>101601</xdr:rowOff>
    </xdr:from>
    <xdr:to>
      <xdr:col>24</xdr:col>
      <xdr:colOff>262466</xdr:colOff>
      <xdr:row>4</xdr:row>
      <xdr:rowOff>8467</xdr:rowOff>
    </xdr:to>
    <xdr:sp macro="" textlink="">
      <xdr:nvSpPr>
        <xdr:cNvPr id="35" name="TextBox 34">
          <a:extLst>
            <a:ext uri="{FF2B5EF4-FFF2-40B4-BE49-F238E27FC236}">
              <a16:creationId xmlns:a16="http://schemas.microsoft.com/office/drawing/2014/main" id="{851BFDDA-B899-42A9-9D1B-644DA32068E4}"/>
            </a:ext>
          </a:extLst>
        </xdr:cNvPr>
        <xdr:cNvSpPr txBox="1"/>
      </xdr:nvSpPr>
      <xdr:spPr>
        <a:xfrm>
          <a:off x="14173199" y="287868"/>
          <a:ext cx="719667" cy="465666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n-IN" sz="2400">
              <a:latin typeface="Lato Black" panose="020F0A02020204030203" pitchFamily="34" charset="0"/>
            </a:rPr>
            <a:t>120</a:t>
          </a:r>
        </a:p>
      </xdr:txBody>
    </xdr:sp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_rels/pivotCacheDefinition3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3.xml"/></Relationships>
</file>

<file path=xl/pivotCache/_rels/pivotCacheDefinition4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4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DELL" refreshedDate="45742.565703703702" createdVersion="8" refreshedVersion="8" minRefreshableVersion="3" recordCount="26" xr:uid="{FC72CA49-501C-4E8B-93E7-1B7A144A35AD}">
  <cacheSource type="worksheet">
    <worksheetSource name="Table1"/>
  </cacheSource>
  <cacheFields count="3">
    <cacheField name="Village" numFmtId="0">
      <sharedItems/>
    </cacheField>
    <cacheField name="Female" numFmtId="0">
      <sharedItems containsSemiMixedTypes="0" containsString="0" containsNumber="1" containsInteger="1" minValue="0" maxValue="3"/>
    </cacheField>
    <cacheField name="Male" numFmtId="0">
      <sharedItems containsSemiMixedTypes="0" containsString="0" containsNumber="1" containsInteger="1" minValue="0" maxValue="4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DELL" refreshedDate="45742.596532870368" createdVersion="8" refreshedVersion="8" minRefreshableVersion="3" recordCount="50" xr:uid="{A1B45E49-D8B3-4EE5-BE14-5DD4605C5E25}">
  <cacheSource type="worksheet">
    <worksheetSource name="Table2"/>
  </cacheSource>
  <cacheFields count="3">
    <cacheField name="Village" numFmtId="0">
      <sharedItems/>
    </cacheField>
    <cacheField name="Female" numFmtId="0">
      <sharedItems containsSemiMixedTypes="0" containsString="0" containsNumber="1" containsInteger="1" minValue="0" maxValue="4"/>
    </cacheField>
    <cacheField name="Male" numFmtId="0">
      <sharedItems containsSemiMixedTypes="0" containsString="0" containsNumber="1" containsInteger="1" minValue="0" maxValue="3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DELL" refreshedDate="45742.596742592592" createdVersion="8" refreshedVersion="8" minRefreshableVersion="3" recordCount="55" xr:uid="{F30B1C04-559F-4A7B-BE4E-0EF947B71D37}">
  <cacheSource type="worksheet">
    <worksheetSource name="Table3"/>
  </cacheSource>
  <cacheFields count="3">
    <cacheField name="Village" numFmtId="0">
      <sharedItems/>
    </cacheField>
    <cacheField name="Female" numFmtId="0">
      <sharedItems containsSemiMixedTypes="0" containsString="0" containsNumber="1" containsInteger="1" minValue="0" maxValue="4"/>
    </cacheField>
    <cacheField name="Male" numFmtId="0">
      <sharedItems containsSemiMixedTypes="0" containsString="0" containsNumber="1" containsInteger="1" minValue="0" maxValue="6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4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DELL" refreshedDate="45742.597794907408" createdVersion="8" refreshedVersion="8" minRefreshableVersion="3" recordCount="131" xr:uid="{1238E947-6C18-471B-A67A-602328320598}">
  <cacheSource type="worksheet">
    <worksheetSource name="Table15"/>
  </cacheSource>
  <cacheFields count="3">
    <cacheField name="Village" numFmtId="0">
      <sharedItems/>
    </cacheField>
    <cacheField name="Female" numFmtId="0">
      <sharedItems containsSemiMixedTypes="0" containsString="0" containsNumber="1" containsInteger="1" minValue="0" maxValue="4"/>
    </cacheField>
    <cacheField name="Male" numFmtId="0">
      <sharedItems containsSemiMixedTypes="0" containsString="0" containsNumber="1" containsInteger="1" minValue="0" maxValue="6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6">
  <r>
    <s v="Marne"/>
    <n v="1"/>
    <n v="4"/>
  </r>
  <r>
    <s v="Kanajaru"/>
    <n v="1"/>
    <n v="0"/>
  </r>
  <r>
    <s v="Koudoor"/>
    <n v="0"/>
    <n v="2"/>
  </r>
  <r>
    <s v="Erlapadi"/>
    <n v="1"/>
    <n v="0"/>
  </r>
  <r>
    <s v="Neere"/>
    <n v="0"/>
    <n v="2"/>
  </r>
  <r>
    <s v="Bailoor"/>
    <n v="1"/>
    <n v="0"/>
  </r>
  <r>
    <s v="Mudaru"/>
    <n v="0"/>
    <n v="1"/>
  </r>
  <r>
    <s v="Nallur"/>
    <n v="0"/>
    <n v="1"/>
  </r>
  <r>
    <s v="Belman"/>
    <n v="0"/>
    <n v="1"/>
  </r>
  <r>
    <s v="Kadthala"/>
    <n v="3"/>
    <n v="1"/>
  </r>
  <r>
    <s v="Idu"/>
    <n v="0"/>
    <n v="1"/>
  </r>
  <r>
    <s v="Miyaru"/>
    <n v="0"/>
    <n v="2"/>
  </r>
  <r>
    <s v="Sanoor"/>
    <n v="0"/>
    <n v="1"/>
  </r>
  <r>
    <s v="Kukkundoor"/>
    <n v="2"/>
    <n v="3"/>
  </r>
  <r>
    <s v="Mala"/>
    <n v="1"/>
    <n v="2"/>
  </r>
  <r>
    <s v="Inna"/>
    <n v="1"/>
    <n v="0"/>
  </r>
  <r>
    <s v="Chara"/>
    <n v="1"/>
    <n v="0"/>
  </r>
  <r>
    <s v="Kuchur"/>
    <n v="1"/>
    <n v="1"/>
  </r>
  <r>
    <s v="Shivapura"/>
    <n v="1"/>
    <n v="0"/>
  </r>
  <r>
    <s v="Kerebettu"/>
    <n v="1"/>
    <n v="0"/>
  </r>
  <r>
    <s v="Mudradi"/>
    <n v="0"/>
    <n v="1"/>
  </r>
  <r>
    <s v="Nitte"/>
    <n v="1"/>
    <n v="0"/>
  </r>
  <r>
    <s v="Kedimaje"/>
    <n v="1"/>
    <n v="1"/>
  </r>
  <r>
    <s v="Bola"/>
    <n v="3"/>
    <n v="2"/>
  </r>
  <r>
    <s v="Kanthavara"/>
    <n v="1"/>
    <n v="1"/>
  </r>
  <r>
    <s v="GH Karkala"/>
    <n v="1"/>
    <n v="2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0">
  <r>
    <s v="Chitturu"/>
    <n v="1"/>
    <n v="0"/>
  </r>
  <r>
    <s v="Kandavara"/>
    <n v="1"/>
    <n v="2"/>
  </r>
  <r>
    <s v="Anagalli"/>
    <n v="1"/>
    <n v="0"/>
  </r>
  <r>
    <s v="Gangolli"/>
    <n v="1"/>
    <n v="2"/>
  </r>
  <r>
    <s v="Kattbelthur"/>
    <n v="1"/>
    <n v="1"/>
  </r>
  <r>
    <s v="Tallur"/>
    <n v="0"/>
    <n v="1"/>
  </r>
  <r>
    <s v="Uppinakudru"/>
    <n v="3"/>
    <n v="1"/>
  </r>
  <r>
    <s v="Kulunje"/>
    <n v="0"/>
    <n v="1"/>
  </r>
  <r>
    <s v="Amasebailu"/>
    <n v="2"/>
    <n v="0"/>
  </r>
  <r>
    <s v="Hakladi"/>
    <n v="1"/>
    <n v="1"/>
  </r>
  <r>
    <s v="Kedur"/>
    <n v="2"/>
    <n v="0"/>
  </r>
  <r>
    <s v="Kavradi"/>
    <n v="1"/>
    <n v="0"/>
  </r>
  <r>
    <s v="Balkur"/>
    <n v="0"/>
    <n v="1"/>
  </r>
  <r>
    <s v="Kedur"/>
    <n v="1"/>
    <n v="1"/>
  </r>
  <r>
    <s v="Kalavara"/>
    <n v="1"/>
    <n v="0"/>
  </r>
  <r>
    <s v="Beejadi"/>
    <n v="1"/>
    <n v="0"/>
  </r>
  <r>
    <s v="Thekkatte"/>
    <n v="1"/>
    <n v="0"/>
  </r>
  <r>
    <s v="Shankarnarayana"/>
    <n v="1"/>
    <n v="1"/>
  </r>
  <r>
    <s v="Amparu"/>
    <n v="1"/>
    <n v="0"/>
  </r>
  <r>
    <s v="Siddapura"/>
    <n v="0"/>
    <n v="1"/>
  </r>
  <r>
    <s v="Yadamoge"/>
    <n v="1"/>
    <n v="0"/>
  </r>
  <r>
    <s v="Bellala"/>
    <n v="0"/>
    <n v="1"/>
  </r>
  <r>
    <s v="Gulvadi"/>
    <n v="1"/>
    <n v="1"/>
  </r>
  <r>
    <s v="Kakrkunje"/>
    <n v="1"/>
    <n v="0"/>
  </r>
  <r>
    <s v="Urban"/>
    <n v="1"/>
    <n v="0"/>
  </r>
  <r>
    <s v="Kundapura"/>
    <n v="1"/>
    <n v="1"/>
  </r>
  <r>
    <s v="Baindur"/>
    <n v="3"/>
    <n v="1"/>
  </r>
  <r>
    <s v="Bijuru"/>
    <n v="0"/>
    <n v="1"/>
  </r>
  <r>
    <s v="Yadthare"/>
    <n v="0"/>
    <n v="1"/>
  </r>
  <r>
    <s v="Shiroor"/>
    <n v="1"/>
    <n v="0"/>
  </r>
  <r>
    <s v="Uppunda"/>
    <n v="4"/>
    <n v="2"/>
  </r>
  <r>
    <s v="Kamalashile"/>
    <n v="0"/>
    <n v="1"/>
  </r>
  <r>
    <s v="Hallihole"/>
    <n v="0"/>
    <n v="1"/>
  </r>
  <r>
    <s v="Kollur"/>
    <n v="1"/>
    <n v="0"/>
  </r>
  <r>
    <s v="Kalthodu"/>
    <n v="2"/>
    <n v="0"/>
  </r>
  <r>
    <s v="Kambadakone"/>
    <n v="1"/>
    <n v="0"/>
  </r>
  <r>
    <s v="Kollur"/>
    <n v="1"/>
    <n v="1"/>
  </r>
  <r>
    <s v="Golihole"/>
    <n v="1"/>
    <n v="0"/>
  </r>
  <r>
    <s v="Jadkal"/>
    <n v="3"/>
    <n v="0"/>
  </r>
  <r>
    <s v="Gujjadi"/>
    <n v="0"/>
    <n v="2"/>
  </r>
  <r>
    <s v="Navunda"/>
    <n v="0"/>
    <n v="1"/>
  </r>
  <r>
    <s v="Trasi"/>
    <n v="0"/>
    <n v="2"/>
  </r>
  <r>
    <s v="Shiroor"/>
    <n v="1"/>
    <n v="3"/>
  </r>
  <r>
    <s v="Paduvari"/>
    <n v="1"/>
    <n v="0"/>
  </r>
  <r>
    <s v="Belve"/>
    <n v="1"/>
    <n v="1"/>
  </r>
  <r>
    <s v="Shedimane"/>
    <n v="2"/>
    <n v="0"/>
  </r>
  <r>
    <s v="Albadi"/>
    <n v="1"/>
    <n v="1"/>
  </r>
  <r>
    <s v="Madamakki"/>
    <n v="1"/>
    <n v="1"/>
  </r>
  <r>
    <s v="Kanyana"/>
    <n v="1"/>
    <n v="0"/>
  </r>
  <r>
    <s v="Kenchanuru"/>
    <n v="0"/>
    <n v="1"/>
  </r>
</pivotCacheRecords>
</file>

<file path=xl/pivotCache/pivotCacheRecords3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5">
  <r>
    <s v="80 Badagabettu"/>
    <n v="0"/>
    <n v="6"/>
  </r>
  <r>
    <s v="Herga"/>
    <n v="1"/>
    <n v="2"/>
  </r>
  <r>
    <s v="Hirebettu"/>
    <n v="0"/>
    <n v="1"/>
  </r>
  <r>
    <s v="Bommarabettu"/>
    <n v="1"/>
    <n v="0"/>
  </r>
  <r>
    <s v="Paduthonse"/>
    <n v="1"/>
    <n v="0"/>
  </r>
  <r>
    <s v="Tenkanidiyoor"/>
    <n v="1"/>
    <n v="2"/>
  </r>
  <r>
    <s v="Badanidiyoor"/>
    <n v="0"/>
    <n v="1"/>
  </r>
  <r>
    <s v="Kukkehalli"/>
    <n v="1"/>
    <n v="4"/>
  </r>
  <r>
    <s v="Perdoor"/>
    <n v="4"/>
    <n v="1"/>
  </r>
  <r>
    <s v="Bellampalli"/>
    <n v="1"/>
    <n v="0"/>
  </r>
  <r>
    <s v="Shiroor"/>
    <n v="1"/>
    <n v="0"/>
  </r>
  <r>
    <s v="Alevoor"/>
    <n v="2"/>
    <n v="4"/>
  </r>
  <r>
    <s v="Onthibettu"/>
    <n v="0"/>
    <n v="1"/>
  </r>
  <r>
    <s v="Anjaru"/>
    <n v="2"/>
    <n v="0"/>
  </r>
  <r>
    <s v="Belle"/>
    <n v="0"/>
    <n v="1"/>
  </r>
  <r>
    <s v="Kudi 82"/>
    <n v="1"/>
    <n v="1"/>
  </r>
  <r>
    <s v="Kodibettu"/>
    <n v="0"/>
    <n v="1"/>
  </r>
  <r>
    <s v="Shivalli"/>
    <n v="0"/>
    <n v="1"/>
  </r>
  <r>
    <s v="Moodanidamburu"/>
    <n v="1"/>
    <n v="4"/>
  </r>
  <r>
    <s v="76 Badagabettu"/>
    <n v="1"/>
    <n v="0"/>
  </r>
  <r>
    <s v="Puttur"/>
    <n v="3"/>
    <n v="1"/>
  </r>
  <r>
    <s v="Billady"/>
    <n v="3"/>
    <n v="0"/>
  </r>
  <r>
    <s v="Kakkunje"/>
    <n v="1"/>
    <n v="1"/>
  </r>
  <r>
    <s v="Hiliyana"/>
    <n v="2"/>
    <n v="0"/>
  </r>
  <r>
    <s v="Avarse"/>
    <n v="1"/>
    <n v="0"/>
  </r>
  <r>
    <s v="Heroor"/>
    <n v="1"/>
    <n v="1"/>
  </r>
  <r>
    <s v="Baikadi"/>
    <n v="0"/>
    <n v="2"/>
  </r>
  <r>
    <s v="Chantaru"/>
    <n v="0"/>
    <n v="1"/>
  </r>
  <r>
    <s v="Kenjoor"/>
    <n v="2"/>
    <n v="3"/>
  </r>
  <r>
    <s v="Hosoor"/>
    <n v="2"/>
    <n v="1"/>
  </r>
  <r>
    <s v="Haluvalli"/>
    <n v="1"/>
    <n v="1"/>
  </r>
  <r>
    <s v="Kodi"/>
    <n v="1"/>
    <n v="0"/>
  </r>
  <r>
    <s v="Nancharu"/>
    <n v="0"/>
    <n v="2"/>
  </r>
  <r>
    <s v="34 Kudi"/>
    <n v="0"/>
    <n v="2"/>
  </r>
  <r>
    <s v="35 Kudi"/>
    <n v="0"/>
    <n v="1"/>
  </r>
  <r>
    <s v="Kadoor"/>
    <n v="0"/>
    <n v="1"/>
  </r>
  <r>
    <s v="33 Shiroor"/>
    <n v="0"/>
    <n v="3"/>
  </r>
  <r>
    <s v="Heggunje"/>
    <n v="1"/>
    <n v="1"/>
  </r>
  <r>
    <s v="Yadtadi"/>
    <n v="1"/>
    <n v="1"/>
  </r>
  <r>
    <s v="Kavadi"/>
    <n v="1"/>
    <n v="1"/>
  </r>
  <r>
    <s v="Shiriyara"/>
    <n v="1"/>
    <n v="1"/>
  </r>
  <r>
    <s v="Karkada"/>
    <n v="1"/>
    <n v="0"/>
  </r>
  <r>
    <s v="Irody"/>
    <n v="1"/>
    <n v="2"/>
  </r>
  <r>
    <s v="Mattu"/>
    <n v="0"/>
    <n v="1"/>
  </r>
  <r>
    <s v="Udyavara"/>
    <n v="3"/>
    <n v="2"/>
  </r>
  <r>
    <s v="Kurkalu"/>
    <n v="1"/>
    <n v="0"/>
  </r>
  <r>
    <s v="Moodabettu "/>
    <n v="1"/>
    <n v="2"/>
  </r>
  <r>
    <s v="Nandikooru"/>
    <n v="0"/>
    <n v="1"/>
  </r>
  <r>
    <s v="Palimaru"/>
    <n v="3"/>
    <n v="0"/>
  </r>
  <r>
    <s v="Pilar"/>
    <n v="1"/>
    <n v="1"/>
  </r>
  <r>
    <s v="Nadsalu"/>
    <n v="1"/>
    <n v="1"/>
  </r>
  <r>
    <s v="Tenka"/>
    <n v="0"/>
    <n v="2"/>
  </r>
  <r>
    <s v="Hejamadi"/>
    <n v="0"/>
    <n v="1"/>
  </r>
  <r>
    <s v="Shirva"/>
    <n v="0"/>
    <n v="1"/>
  </r>
  <r>
    <s v="Belle"/>
    <n v="0"/>
    <n v="1"/>
  </r>
</pivotCacheRecords>
</file>

<file path=xl/pivotCache/pivotCacheRecords4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31">
  <r>
    <s v="Marne"/>
    <n v="1"/>
    <n v="4"/>
  </r>
  <r>
    <s v="Kanajaru"/>
    <n v="1"/>
    <n v="0"/>
  </r>
  <r>
    <s v="Koudoor"/>
    <n v="0"/>
    <n v="2"/>
  </r>
  <r>
    <s v="Erlapadi"/>
    <n v="1"/>
    <n v="0"/>
  </r>
  <r>
    <s v="Neere"/>
    <n v="0"/>
    <n v="2"/>
  </r>
  <r>
    <s v="Bailoor"/>
    <n v="1"/>
    <n v="0"/>
  </r>
  <r>
    <s v="Mudaru"/>
    <n v="0"/>
    <n v="1"/>
  </r>
  <r>
    <s v="Nallur"/>
    <n v="0"/>
    <n v="1"/>
  </r>
  <r>
    <s v="Belman"/>
    <n v="0"/>
    <n v="1"/>
  </r>
  <r>
    <s v="Kadthala"/>
    <n v="3"/>
    <n v="1"/>
  </r>
  <r>
    <s v="Idu"/>
    <n v="0"/>
    <n v="1"/>
  </r>
  <r>
    <s v="Miyaru"/>
    <n v="0"/>
    <n v="2"/>
  </r>
  <r>
    <s v="Sanoor"/>
    <n v="0"/>
    <n v="1"/>
  </r>
  <r>
    <s v="Kukkundoor"/>
    <n v="2"/>
    <n v="3"/>
  </r>
  <r>
    <s v="Mala"/>
    <n v="1"/>
    <n v="2"/>
  </r>
  <r>
    <s v="Inna"/>
    <n v="1"/>
    <n v="0"/>
  </r>
  <r>
    <s v="Chara"/>
    <n v="1"/>
    <n v="0"/>
  </r>
  <r>
    <s v="Kuchur"/>
    <n v="1"/>
    <n v="1"/>
  </r>
  <r>
    <s v="Shivapura"/>
    <n v="1"/>
    <n v="0"/>
  </r>
  <r>
    <s v="Kerebettu"/>
    <n v="1"/>
    <n v="0"/>
  </r>
  <r>
    <s v="Mudradi"/>
    <n v="0"/>
    <n v="1"/>
  </r>
  <r>
    <s v="Nitte"/>
    <n v="1"/>
    <n v="0"/>
  </r>
  <r>
    <s v="Kedimaje"/>
    <n v="1"/>
    <n v="1"/>
  </r>
  <r>
    <s v="Bola"/>
    <n v="3"/>
    <n v="2"/>
  </r>
  <r>
    <s v="Kanthavara"/>
    <n v="1"/>
    <n v="1"/>
  </r>
  <r>
    <s v="GH Karkala"/>
    <n v="1"/>
    <n v="2"/>
  </r>
  <r>
    <s v="Chitturu"/>
    <n v="1"/>
    <n v="0"/>
  </r>
  <r>
    <s v="Kandavara"/>
    <n v="1"/>
    <n v="2"/>
  </r>
  <r>
    <s v="Anagalli"/>
    <n v="1"/>
    <n v="0"/>
  </r>
  <r>
    <s v="Gangolli"/>
    <n v="1"/>
    <n v="2"/>
  </r>
  <r>
    <s v="Kattbelthur"/>
    <n v="1"/>
    <n v="1"/>
  </r>
  <r>
    <s v="Tallur"/>
    <n v="0"/>
    <n v="1"/>
  </r>
  <r>
    <s v="Uppinakudru"/>
    <n v="3"/>
    <n v="1"/>
  </r>
  <r>
    <s v="Kulunje"/>
    <n v="0"/>
    <n v="1"/>
  </r>
  <r>
    <s v="Amasebailu"/>
    <n v="2"/>
    <n v="0"/>
  </r>
  <r>
    <s v="Hakladi"/>
    <n v="1"/>
    <n v="1"/>
  </r>
  <r>
    <s v="Kedur"/>
    <n v="2"/>
    <n v="0"/>
  </r>
  <r>
    <s v="Kavradi"/>
    <n v="1"/>
    <n v="0"/>
  </r>
  <r>
    <s v="Balkur"/>
    <n v="0"/>
    <n v="1"/>
  </r>
  <r>
    <s v="Kedur"/>
    <n v="1"/>
    <n v="1"/>
  </r>
  <r>
    <s v="Kalavara"/>
    <n v="1"/>
    <n v="0"/>
  </r>
  <r>
    <s v="Beejadi"/>
    <n v="1"/>
    <n v="0"/>
  </r>
  <r>
    <s v="Thekkatte"/>
    <n v="1"/>
    <n v="0"/>
  </r>
  <r>
    <s v="Shankarnarayana"/>
    <n v="1"/>
    <n v="1"/>
  </r>
  <r>
    <s v="Amparu"/>
    <n v="1"/>
    <n v="0"/>
  </r>
  <r>
    <s v="Siddapura"/>
    <n v="0"/>
    <n v="1"/>
  </r>
  <r>
    <s v="Yadamoge"/>
    <n v="1"/>
    <n v="0"/>
  </r>
  <r>
    <s v="Bellala"/>
    <n v="0"/>
    <n v="1"/>
  </r>
  <r>
    <s v="Gulvadi"/>
    <n v="1"/>
    <n v="1"/>
  </r>
  <r>
    <s v="Kakrkunje"/>
    <n v="1"/>
    <n v="0"/>
  </r>
  <r>
    <s v="Urban"/>
    <n v="1"/>
    <n v="0"/>
  </r>
  <r>
    <s v="Kundapura"/>
    <n v="1"/>
    <n v="1"/>
  </r>
  <r>
    <s v="Baindur"/>
    <n v="3"/>
    <n v="1"/>
  </r>
  <r>
    <s v="Bijuru"/>
    <n v="0"/>
    <n v="1"/>
  </r>
  <r>
    <s v="Yadthare"/>
    <n v="0"/>
    <n v="1"/>
  </r>
  <r>
    <s v="Shiroor"/>
    <n v="1"/>
    <n v="0"/>
  </r>
  <r>
    <s v="Uppunda"/>
    <n v="4"/>
    <n v="2"/>
  </r>
  <r>
    <s v="Kamalashile"/>
    <n v="0"/>
    <n v="1"/>
  </r>
  <r>
    <s v="Hallihole"/>
    <n v="0"/>
    <n v="1"/>
  </r>
  <r>
    <s v="Kollur"/>
    <n v="1"/>
    <n v="0"/>
  </r>
  <r>
    <s v="Kalthodu"/>
    <n v="2"/>
    <n v="0"/>
  </r>
  <r>
    <s v="Kambadakone"/>
    <n v="1"/>
    <n v="0"/>
  </r>
  <r>
    <s v="Kollur"/>
    <n v="1"/>
    <n v="1"/>
  </r>
  <r>
    <s v="Golihole"/>
    <n v="1"/>
    <n v="0"/>
  </r>
  <r>
    <s v="Jadkal"/>
    <n v="3"/>
    <n v="0"/>
  </r>
  <r>
    <s v="Gujjadi"/>
    <n v="0"/>
    <n v="2"/>
  </r>
  <r>
    <s v="Navunda"/>
    <n v="0"/>
    <n v="1"/>
  </r>
  <r>
    <s v="Trasi"/>
    <n v="0"/>
    <n v="2"/>
  </r>
  <r>
    <s v="Shiroor"/>
    <n v="1"/>
    <n v="3"/>
  </r>
  <r>
    <s v="Paduvari"/>
    <n v="1"/>
    <n v="0"/>
  </r>
  <r>
    <s v="Belve"/>
    <n v="1"/>
    <n v="1"/>
  </r>
  <r>
    <s v="Shedimane"/>
    <n v="2"/>
    <n v="0"/>
  </r>
  <r>
    <s v="Albadi"/>
    <n v="1"/>
    <n v="1"/>
  </r>
  <r>
    <s v="Madamakki"/>
    <n v="1"/>
    <n v="1"/>
  </r>
  <r>
    <s v="Kanyana"/>
    <n v="1"/>
    <n v="0"/>
  </r>
  <r>
    <s v="Kenchanuru"/>
    <n v="0"/>
    <n v="1"/>
  </r>
  <r>
    <s v="80 Badagabettu"/>
    <n v="0"/>
    <n v="6"/>
  </r>
  <r>
    <s v="Herga"/>
    <n v="1"/>
    <n v="2"/>
  </r>
  <r>
    <s v="Hirebettu"/>
    <n v="0"/>
    <n v="1"/>
  </r>
  <r>
    <s v="Bommarabettu"/>
    <n v="1"/>
    <n v="0"/>
  </r>
  <r>
    <s v="Paduthonse"/>
    <n v="1"/>
    <n v="0"/>
  </r>
  <r>
    <s v="Tenkanidiyoor"/>
    <n v="1"/>
    <n v="2"/>
  </r>
  <r>
    <s v="Badanidiyoor"/>
    <n v="0"/>
    <n v="1"/>
  </r>
  <r>
    <s v="Kukkehalli"/>
    <n v="1"/>
    <n v="4"/>
  </r>
  <r>
    <s v="Perdoor"/>
    <n v="4"/>
    <n v="1"/>
  </r>
  <r>
    <s v="Bellampalli"/>
    <n v="1"/>
    <n v="0"/>
  </r>
  <r>
    <s v="Shiroor"/>
    <n v="1"/>
    <n v="0"/>
  </r>
  <r>
    <s v="Alevoor"/>
    <n v="2"/>
    <n v="4"/>
  </r>
  <r>
    <s v="Onthibettu"/>
    <n v="0"/>
    <n v="1"/>
  </r>
  <r>
    <s v="Anjaru"/>
    <n v="2"/>
    <n v="0"/>
  </r>
  <r>
    <s v="Belle"/>
    <n v="0"/>
    <n v="1"/>
  </r>
  <r>
    <s v="Kudi 82"/>
    <n v="1"/>
    <n v="1"/>
  </r>
  <r>
    <s v="Kodibettu"/>
    <n v="0"/>
    <n v="1"/>
  </r>
  <r>
    <s v="Shivalli"/>
    <n v="0"/>
    <n v="1"/>
  </r>
  <r>
    <s v="Moodanidamburu"/>
    <n v="1"/>
    <n v="4"/>
  </r>
  <r>
    <s v="76 Badagabettu"/>
    <n v="1"/>
    <n v="0"/>
  </r>
  <r>
    <s v="Puttur"/>
    <n v="3"/>
    <n v="1"/>
  </r>
  <r>
    <s v="Billady"/>
    <n v="3"/>
    <n v="0"/>
  </r>
  <r>
    <s v="Kakkunje"/>
    <n v="1"/>
    <n v="1"/>
  </r>
  <r>
    <s v="Hiliyana"/>
    <n v="2"/>
    <n v="0"/>
  </r>
  <r>
    <s v="Avarse"/>
    <n v="1"/>
    <n v="0"/>
  </r>
  <r>
    <s v="Heroor"/>
    <n v="1"/>
    <n v="1"/>
  </r>
  <r>
    <s v="Baikadi"/>
    <n v="0"/>
    <n v="2"/>
  </r>
  <r>
    <s v="Chantaru"/>
    <n v="0"/>
    <n v="1"/>
  </r>
  <r>
    <s v="Kenjoor"/>
    <n v="2"/>
    <n v="3"/>
  </r>
  <r>
    <s v="Hosoor"/>
    <n v="2"/>
    <n v="1"/>
  </r>
  <r>
    <s v="Haluvalli"/>
    <n v="1"/>
    <n v="1"/>
  </r>
  <r>
    <s v="Kodi"/>
    <n v="1"/>
    <n v="0"/>
  </r>
  <r>
    <s v="Nancharu"/>
    <n v="0"/>
    <n v="2"/>
  </r>
  <r>
    <s v="34 Kudi"/>
    <n v="0"/>
    <n v="2"/>
  </r>
  <r>
    <s v="35 Kudi"/>
    <n v="0"/>
    <n v="1"/>
  </r>
  <r>
    <s v="Kadoor"/>
    <n v="0"/>
    <n v="1"/>
  </r>
  <r>
    <s v="33 Shiroor"/>
    <n v="0"/>
    <n v="3"/>
  </r>
  <r>
    <s v="Heggunje"/>
    <n v="1"/>
    <n v="1"/>
  </r>
  <r>
    <s v="Yadtadi"/>
    <n v="1"/>
    <n v="1"/>
  </r>
  <r>
    <s v="Kavadi"/>
    <n v="1"/>
    <n v="1"/>
  </r>
  <r>
    <s v="Shiriyara"/>
    <n v="1"/>
    <n v="1"/>
  </r>
  <r>
    <s v="Karkada"/>
    <n v="1"/>
    <n v="0"/>
  </r>
  <r>
    <s v="Irody"/>
    <n v="1"/>
    <n v="2"/>
  </r>
  <r>
    <s v="Mattu"/>
    <n v="0"/>
    <n v="1"/>
  </r>
  <r>
    <s v="Udyavara"/>
    <n v="3"/>
    <n v="2"/>
  </r>
  <r>
    <s v="Kurkalu"/>
    <n v="1"/>
    <n v="0"/>
  </r>
  <r>
    <s v="Moodabettu "/>
    <n v="1"/>
    <n v="2"/>
  </r>
  <r>
    <s v="Nandikooru"/>
    <n v="0"/>
    <n v="1"/>
  </r>
  <r>
    <s v="Palimaru"/>
    <n v="3"/>
    <n v="0"/>
  </r>
  <r>
    <s v="Pilar"/>
    <n v="1"/>
    <n v="1"/>
  </r>
  <r>
    <s v="Nadsalu"/>
    <n v="1"/>
    <n v="1"/>
  </r>
  <r>
    <s v="Tenka"/>
    <n v="0"/>
    <n v="2"/>
  </r>
  <r>
    <s v="Hejamadi"/>
    <n v="0"/>
    <n v="1"/>
  </r>
  <r>
    <s v="Shirva"/>
    <n v="0"/>
    <n v="1"/>
  </r>
  <r>
    <s v="Belle"/>
    <n v="0"/>
    <n v="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7291CC9-CA52-41D9-87C3-E4637BF81ACA}" name="PivotTable12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L2:M3" firstHeaderRow="0" firstDataRow="1" firstDataCol="0"/>
  <pivotFields count="3">
    <pivotField showAll="0"/>
    <pivotField dataField="1" showAll="0"/>
    <pivotField dataField="1" showAll="0"/>
  </pivotFields>
  <rowItems count="1">
    <i/>
  </rowItems>
  <colFields count="1">
    <field x="-2"/>
  </colFields>
  <colItems count="2">
    <i>
      <x/>
    </i>
    <i i="1">
      <x v="1"/>
    </i>
  </colItems>
  <dataFields count="2">
    <dataField name="Sum of Female" fld="1" baseField="0" baseItem="0"/>
    <dataField name="Sum of Male" fld="2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A9B5D4B-C4B3-4068-80B6-5DEDEA4430F6}" name="PivotTable13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L2:M3" firstHeaderRow="0" firstDataRow="1" firstDataCol="0"/>
  <pivotFields count="3">
    <pivotField showAll="0"/>
    <pivotField dataField="1" showAll="0"/>
    <pivotField dataField="1" showAll="0"/>
  </pivotFields>
  <rowItems count="1">
    <i/>
  </rowItems>
  <colFields count="1">
    <field x="-2"/>
  </colFields>
  <colItems count="2">
    <i>
      <x/>
    </i>
    <i i="1">
      <x v="1"/>
    </i>
  </colItems>
  <dataFields count="2">
    <dataField name="Sum of Female" fld="1" baseField="0" baseItem="0"/>
    <dataField name="Sum of Male" fld="2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82C3554-7B15-4ABC-B5B1-996609CFEB21}" name="PivotTable14" cacheId="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L2:M3" firstHeaderRow="0" firstDataRow="1" firstDataCol="0"/>
  <pivotFields count="3">
    <pivotField showAll="0"/>
    <pivotField dataField="1" showAll="0"/>
    <pivotField dataField="1" showAll="0"/>
  </pivotFields>
  <rowItems count="1">
    <i/>
  </rowItems>
  <colFields count="1">
    <field x="-2"/>
  </colFields>
  <colItems count="2">
    <i>
      <x/>
    </i>
    <i i="1">
      <x v="1"/>
    </i>
  </colItems>
  <dataFields count="2">
    <dataField name="Sum of Female" fld="1" baseField="0" baseItem="0"/>
    <dataField name="Sum of Male" fld="2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2CD0C3A-A9C0-42C1-B135-9CA807D0AB5B}" name="PivotTable15" cacheId="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E2:F3" firstHeaderRow="0" firstDataRow="1" firstDataCol="0"/>
  <pivotFields count="3">
    <pivotField showAll="0"/>
    <pivotField dataField="1" showAll="0"/>
    <pivotField dataField="1" showAll="0"/>
  </pivotFields>
  <rowItems count="1">
    <i/>
  </rowItems>
  <colFields count="1">
    <field x="-2"/>
  </colFields>
  <colItems count="2">
    <i>
      <x/>
    </i>
    <i i="1">
      <x v="1"/>
    </i>
  </colItems>
  <dataFields count="2">
    <dataField name="Sum of Female" fld="1" baseField="0" baseItem="0"/>
    <dataField name="Sum of Male" fld="2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79D179CB-2971-42BD-B71A-D7C78E96A02C}" name="Table1" displayName="Table1" ref="H2:J28" totalsRowShown="0" headerRowDxfId="26" headerRowBorderDxfId="25" tableBorderDxfId="24" totalsRowBorderDxfId="23">
  <autoFilter ref="H2:J28" xr:uid="{79D179CB-2971-42BD-B71A-D7C78E96A02C}"/>
  <tableColumns count="3">
    <tableColumn id="1" xr3:uid="{E7203931-9C72-4337-9381-98922C576FE8}" name="Village" dataDxfId="22"/>
    <tableColumn id="2" xr3:uid="{A55F8BCE-D7EA-41AF-AA44-1F307EBE6551}" name="Female" dataDxfId="21"/>
    <tableColumn id="3" xr3:uid="{CC390C20-75F1-48E2-820F-D1F881317517}" name="Male" dataDxfId="20"/>
  </tableColumns>
  <tableStyleInfo name="TableStyleMedium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96390106-47E9-4B0F-9D5F-A0322EAAAEAA}" name="Table2" displayName="Table2" ref="H2:J52" totalsRowShown="0" headerRowBorderDxfId="19" tableBorderDxfId="18" totalsRowBorderDxfId="17">
  <autoFilter ref="H2:J52" xr:uid="{96390106-47E9-4B0F-9D5F-A0322EAAAEAA}"/>
  <tableColumns count="3">
    <tableColumn id="1" xr3:uid="{1EA45F31-70EF-4E82-9CCB-92B3E3A5D403}" name="Village" dataDxfId="16"/>
    <tableColumn id="2" xr3:uid="{2BAB3A50-FD8C-4D74-AC11-D39C01D49195}" name="Female" dataDxfId="15"/>
    <tableColumn id="3" xr3:uid="{13E8F92B-362C-408B-910D-175269F6EB36}" name="Male" dataDxfId="14"/>
  </tableColumns>
  <tableStyleInfo name="TableStyleMedium9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3B512FB9-E3EF-4148-8BB6-A7DAABB299E1}" name="Table3" displayName="Table3" ref="H2:J57" totalsRowShown="0" headerRowDxfId="13" headerRowBorderDxfId="12" tableBorderDxfId="11" totalsRowBorderDxfId="10">
  <autoFilter ref="H2:J57" xr:uid="{3B512FB9-E3EF-4148-8BB6-A7DAABB299E1}"/>
  <tableColumns count="3">
    <tableColumn id="1" xr3:uid="{A20DBD3C-4BDE-482B-A927-7F7646FDB99C}" name="Village" dataDxfId="9"/>
    <tableColumn id="2" xr3:uid="{DF6D4E46-5916-4D1D-BECF-E4A3C699F565}" name="Female" dataDxfId="8"/>
    <tableColumn id="3" xr3:uid="{1036AA12-6B15-4D11-B0ED-95D6016F873B}" name="Male" dataDxfId="7"/>
  </tableColumns>
  <tableStyleInfo name="TableStyleMedium9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DD137770-EF0C-43D1-A724-C4E0678FD813}" name="Table15" displayName="Table15" ref="A1:C132" totalsRowShown="0" headerRowDxfId="6" headerRowBorderDxfId="5" tableBorderDxfId="4" totalsRowBorderDxfId="3">
  <autoFilter ref="A1:C132" xr:uid="{DD137770-EF0C-43D1-A724-C4E0678FD813}"/>
  <tableColumns count="3">
    <tableColumn id="1" xr3:uid="{8C62936F-ED3F-4AC1-925B-226575FEF3F0}" name="Village" dataDxfId="2"/>
    <tableColumn id="2" xr3:uid="{2A388135-9429-4AC3-8692-25BEF27852A5}" name="Female" dataDxfId="1"/>
    <tableColumn id="3" xr3:uid="{C27E7916-24D9-4A58-9446-BC1729CF40FC}" name="Male" dataDxfId="0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printerSettings" Target="../printerSettings/printerSettings2.bin"/><Relationship Id="rId1" Type="http://schemas.openxmlformats.org/officeDocument/2006/relationships/pivotTable" Target="../pivotTables/pivotTable2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table" Target="../tables/table3.xml"/><Relationship Id="rId2" Type="http://schemas.openxmlformats.org/officeDocument/2006/relationships/printerSettings" Target="../printerSettings/printerSettings3.bin"/><Relationship Id="rId1" Type="http://schemas.openxmlformats.org/officeDocument/2006/relationships/pivotTable" Target="../pivotTables/pivotTable3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table" Target="../tables/table4.xml"/><Relationship Id="rId1" Type="http://schemas.openxmlformats.org/officeDocument/2006/relationships/pivotTable" Target="../pivotTables/pivot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6187B4-BFEB-4634-876B-F5C90BE3E730}">
  <dimension ref="A1"/>
  <sheetViews>
    <sheetView tabSelected="1" zoomScale="90" zoomScaleNormal="90" workbookViewId="0">
      <selection activeCell="N5" sqref="N5"/>
    </sheetView>
  </sheetViews>
  <sheetFormatPr defaultRowHeight="14.4" x14ac:dyDescent="0.3"/>
  <cols>
    <col min="1" max="16384" width="8.88671875" style="35"/>
  </cols>
  <sheetData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M35"/>
  <sheetViews>
    <sheetView workbookViewId="0">
      <selection activeCell="C21" sqref="C21"/>
    </sheetView>
  </sheetViews>
  <sheetFormatPr defaultRowHeight="14.4" x14ac:dyDescent="0.3"/>
  <cols>
    <col min="1" max="1" width="5.88671875" bestFit="1" customWidth="1"/>
    <col min="2" max="2" width="21.5546875" bestFit="1" customWidth="1"/>
    <col min="3" max="3" width="14.33203125" bestFit="1" customWidth="1"/>
    <col min="4" max="4" width="11.33203125" bestFit="1" customWidth="1"/>
    <col min="5" max="6" width="9.109375" style="9"/>
    <col min="7" max="7" width="4.5546875" customWidth="1"/>
    <col min="8" max="8" width="16" customWidth="1"/>
    <col min="9" max="9" width="10" customWidth="1"/>
    <col min="10" max="10" width="10.5546875" customWidth="1"/>
    <col min="12" max="12" width="13.5546875" bestFit="1" customWidth="1"/>
    <col min="13" max="13" width="11.6640625" bestFit="1" customWidth="1"/>
  </cols>
  <sheetData>
    <row r="1" spans="1:13" ht="26.25" customHeight="1" x14ac:dyDescent="0.3">
      <c r="A1" s="37" t="s">
        <v>184</v>
      </c>
      <c r="B1" s="37"/>
      <c r="C1" s="37"/>
      <c r="D1" s="37"/>
      <c r="E1" s="37"/>
      <c r="F1" s="37"/>
    </row>
    <row r="2" spans="1:13" ht="31.2" x14ac:dyDescent="0.3">
      <c r="A2" s="1" t="s">
        <v>0</v>
      </c>
      <c r="B2" s="14" t="s">
        <v>1</v>
      </c>
      <c r="C2" s="1" t="s">
        <v>78</v>
      </c>
      <c r="D2" s="1" t="s">
        <v>2</v>
      </c>
      <c r="E2" s="1" t="s">
        <v>186</v>
      </c>
      <c r="F2" s="1" t="s">
        <v>187</v>
      </c>
      <c r="H2" s="17" t="s">
        <v>78</v>
      </c>
      <c r="I2" s="13" t="s">
        <v>186</v>
      </c>
      <c r="J2" s="18" t="s">
        <v>187</v>
      </c>
      <c r="L2" t="s">
        <v>196</v>
      </c>
      <c r="M2" t="s">
        <v>197</v>
      </c>
    </row>
    <row r="3" spans="1:13" ht="21.75" customHeight="1" x14ac:dyDescent="0.3">
      <c r="A3" s="1">
        <v>1</v>
      </c>
      <c r="B3" s="14" t="s">
        <v>57</v>
      </c>
      <c r="C3" s="1" t="s">
        <v>165</v>
      </c>
      <c r="D3" s="1">
        <v>5</v>
      </c>
      <c r="E3" s="5">
        <v>1</v>
      </c>
      <c r="F3" s="5">
        <v>4</v>
      </c>
      <c r="H3" s="11" t="s">
        <v>165</v>
      </c>
      <c r="I3" s="5">
        <v>1</v>
      </c>
      <c r="J3" s="16">
        <v>4</v>
      </c>
      <c r="L3">
        <v>22</v>
      </c>
      <c r="M3">
        <v>29</v>
      </c>
    </row>
    <row r="4" spans="1:13" ht="21.75" customHeight="1" x14ac:dyDescent="0.3">
      <c r="A4" s="43">
        <v>2</v>
      </c>
      <c r="B4" s="46" t="s">
        <v>58</v>
      </c>
      <c r="C4" s="1" t="s">
        <v>174</v>
      </c>
      <c r="D4" s="1">
        <v>1</v>
      </c>
      <c r="E4" s="5">
        <v>1</v>
      </c>
      <c r="F4" s="5">
        <v>0</v>
      </c>
      <c r="H4" s="11" t="s">
        <v>174</v>
      </c>
      <c r="I4" s="5">
        <v>1</v>
      </c>
      <c r="J4" s="16">
        <v>0</v>
      </c>
    </row>
    <row r="5" spans="1:13" ht="21.75" customHeight="1" x14ac:dyDescent="0.3">
      <c r="A5" s="45"/>
      <c r="B5" s="46"/>
      <c r="C5" s="1" t="s">
        <v>170</v>
      </c>
      <c r="D5" s="1">
        <v>2</v>
      </c>
      <c r="E5" s="5">
        <v>0</v>
      </c>
      <c r="F5" s="5">
        <v>2</v>
      </c>
      <c r="H5" s="11" t="s">
        <v>170</v>
      </c>
      <c r="I5" s="5">
        <v>0</v>
      </c>
      <c r="J5" s="16">
        <v>2</v>
      </c>
      <c r="L5" t="s">
        <v>187</v>
      </c>
      <c r="M5">
        <v>29</v>
      </c>
    </row>
    <row r="6" spans="1:13" ht="21.75" customHeight="1" x14ac:dyDescent="0.3">
      <c r="A6" s="45"/>
      <c r="B6" s="46"/>
      <c r="C6" s="1" t="s">
        <v>171</v>
      </c>
      <c r="D6" s="1">
        <v>1</v>
      </c>
      <c r="E6" s="5">
        <v>1</v>
      </c>
      <c r="F6" s="5">
        <v>0</v>
      </c>
      <c r="H6" s="11" t="s">
        <v>171</v>
      </c>
      <c r="I6" s="5">
        <v>1</v>
      </c>
      <c r="J6" s="16">
        <v>0</v>
      </c>
      <c r="L6" t="s">
        <v>186</v>
      </c>
      <c r="M6">
        <v>22</v>
      </c>
    </row>
    <row r="7" spans="1:13" ht="21.75" customHeight="1" x14ac:dyDescent="0.3">
      <c r="A7" s="45"/>
      <c r="B7" s="46"/>
      <c r="C7" s="1" t="s">
        <v>172</v>
      </c>
      <c r="D7" s="1">
        <v>2</v>
      </c>
      <c r="E7" s="5">
        <v>0</v>
      </c>
      <c r="F7" s="5">
        <v>2</v>
      </c>
      <c r="H7" s="11" t="s">
        <v>172</v>
      </c>
      <c r="I7" s="5">
        <v>0</v>
      </c>
      <c r="J7" s="16">
        <v>2</v>
      </c>
    </row>
    <row r="8" spans="1:13" ht="21.75" customHeight="1" x14ac:dyDescent="0.3">
      <c r="A8" s="44"/>
      <c r="B8" s="46"/>
      <c r="C8" s="1" t="s">
        <v>173</v>
      </c>
      <c r="D8" s="1">
        <v>1</v>
      </c>
      <c r="E8" s="5">
        <v>1</v>
      </c>
      <c r="F8" s="5">
        <v>0</v>
      </c>
      <c r="H8" s="11" t="s">
        <v>173</v>
      </c>
      <c r="I8" s="5">
        <v>1</v>
      </c>
      <c r="J8" s="16">
        <v>0</v>
      </c>
    </row>
    <row r="9" spans="1:13" ht="21.75" customHeight="1" x14ac:dyDescent="0.3">
      <c r="A9" s="37">
        <v>3</v>
      </c>
      <c r="B9" s="46" t="s">
        <v>59</v>
      </c>
      <c r="C9" s="1" t="s">
        <v>167</v>
      </c>
      <c r="D9" s="1">
        <v>1</v>
      </c>
      <c r="E9" s="5">
        <v>0</v>
      </c>
      <c r="F9" s="5">
        <v>1</v>
      </c>
      <c r="H9" s="11" t="s">
        <v>167</v>
      </c>
      <c r="I9" s="5">
        <v>0</v>
      </c>
      <c r="J9" s="16">
        <v>1</v>
      </c>
    </row>
    <row r="10" spans="1:13" ht="21.75" customHeight="1" x14ac:dyDescent="0.3">
      <c r="A10" s="37"/>
      <c r="B10" s="46"/>
      <c r="C10" s="1" t="s">
        <v>168</v>
      </c>
      <c r="D10" s="1">
        <v>1</v>
      </c>
      <c r="E10" s="5">
        <v>0</v>
      </c>
      <c r="F10" s="5">
        <v>1</v>
      </c>
      <c r="H10" s="11" t="s">
        <v>168</v>
      </c>
      <c r="I10" s="5">
        <v>0</v>
      </c>
      <c r="J10" s="16">
        <v>1</v>
      </c>
    </row>
    <row r="11" spans="1:13" ht="21.75" customHeight="1" x14ac:dyDescent="0.3">
      <c r="A11" s="1">
        <v>4</v>
      </c>
      <c r="B11" s="14" t="s">
        <v>60</v>
      </c>
      <c r="C11" s="1" t="s">
        <v>60</v>
      </c>
      <c r="D11" s="1">
        <v>1</v>
      </c>
      <c r="E11" s="5">
        <v>0</v>
      </c>
      <c r="F11" s="5">
        <v>1</v>
      </c>
      <c r="H11" s="11" t="s">
        <v>192</v>
      </c>
      <c r="I11" s="5">
        <v>0</v>
      </c>
      <c r="J11" s="16">
        <v>1</v>
      </c>
    </row>
    <row r="12" spans="1:13" ht="21.75" customHeight="1" x14ac:dyDescent="0.3">
      <c r="A12" s="1">
        <v>5</v>
      </c>
      <c r="B12" s="14" t="s">
        <v>61</v>
      </c>
      <c r="C12" s="1" t="s">
        <v>166</v>
      </c>
      <c r="D12" s="1">
        <v>4</v>
      </c>
      <c r="E12" s="5">
        <v>3</v>
      </c>
      <c r="F12" s="5">
        <v>1</v>
      </c>
      <c r="H12" s="11" t="s">
        <v>166</v>
      </c>
      <c r="I12" s="5">
        <v>3</v>
      </c>
      <c r="J12" s="16">
        <v>1</v>
      </c>
    </row>
    <row r="13" spans="1:13" ht="21.75" customHeight="1" x14ac:dyDescent="0.3">
      <c r="A13" s="1">
        <v>6</v>
      </c>
      <c r="B13" s="14" t="s">
        <v>62</v>
      </c>
      <c r="C13" s="1" t="s">
        <v>185</v>
      </c>
      <c r="D13" s="1">
        <v>0</v>
      </c>
      <c r="E13" s="5">
        <v>0</v>
      </c>
      <c r="F13" s="5">
        <v>0</v>
      </c>
      <c r="H13" s="11" t="s">
        <v>193</v>
      </c>
      <c r="I13" s="5">
        <v>0</v>
      </c>
      <c r="J13" s="16">
        <v>1</v>
      </c>
    </row>
    <row r="14" spans="1:13" ht="21.75" customHeight="1" x14ac:dyDescent="0.3">
      <c r="A14" s="1">
        <v>7</v>
      </c>
      <c r="B14" s="14" t="s">
        <v>63</v>
      </c>
      <c r="C14" s="1" t="s">
        <v>185</v>
      </c>
      <c r="D14" s="1">
        <v>0</v>
      </c>
      <c r="E14" s="5">
        <v>0</v>
      </c>
      <c r="F14" s="5">
        <v>0</v>
      </c>
      <c r="H14" s="11" t="s">
        <v>163</v>
      </c>
      <c r="I14" s="5">
        <v>0</v>
      </c>
      <c r="J14" s="16">
        <v>2</v>
      </c>
    </row>
    <row r="15" spans="1:13" ht="21.75" customHeight="1" x14ac:dyDescent="0.3">
      <c r="A15" s="1">
        <v>8</v>
      </c>
      <c r="B15" s="14" t="s">
        <v>64</v>
      </c>
      <c r="C15" s="1" t="s">
        <v>64</v>
      </c>
      <c r="D15" s="1">
        <v>1</v>
      </c>
      <c r="E15" s="5">
        <v>0</v>
      </c>
      <c r="F15" s="5">
        <v>1</v>
      </c>
      <c r="H15" s="11" t="s">
        <v>164</v>
      </c>
      <c r="I15" s="5">
        <v>0</v>
      </c>
      <c r="J15" s="16">
        <v>1</v>
      </c>
    </row>
    <row r="16" spans="1:13" ht="21.75" customHeight="1" x14ac:dyDescent="0.3">
      <c r="A16" s="1">
        <v>9</v>
      </c>
      <c r="B16" s="14" t="s">
        <v>65</v>
      </c>
      <c r="C16" s="1" t="s">
        <v>185</v>
      </c>
      <c r="D16" s="1">
        <v>0</v>
      </c>
      <c r="E16" s="5">
        <v>0</v>
      </c>
      <c r="F16" s="5">
        <v>0</v>
      </c>
      <c r="H16" s="11" t="s">
        <v>191</v>
      </c>
      <c r="I16" s="5">
        <v>2</v>
      </c>
      <c r="J16" s="16">
        <v>3</v>
      </c>
    </row>
    <row r="17" spans="1:10" ht="21.75" customHeight="1" x14ac:dyDescent="0.3">
      <c r="A17" s="43">
        <v>10</v>
      </c>
      <c r="B17" s="41" t="s">
        <v>66</v>
      </c>
      <c r="C17" s="1" t="s">
        <v>163</v>
      </c>
      <c r="D17" s="1">
        <v>2</v>
      </c>
      <c r="E17" s="5">
        <v>0</v>
      </c>
      <c r="F17" s="5">
        <v>2</v>
      </c>
      <c r="H17" s="11" t="s">
        <v>194</v>
      </c>
      <c r="I17" s="5">
        <v>1</v>
      </c>
      <c r="J17" s="16">
        <v>2</v>
      </c>
    </row>
    <row r="18" spans="1:10" ht="21.75" customHeight="1" x14ac:dyDescent="0.3">
      <c r="A18" s="44"/>
      <c r="B18" s="42"/>
      <c r="C18" s="1" t="s">
        <v>164</v>
      </c>
      <c r="D18" s="1">
        <v>1</v>
      </c>
      <c r="E18" s="5">
        <v>0</v>
      </c>
      <c r="F18" s="5">
        <v>1</v>
      </c>
      <c r="H18" s="11" t="s">
        <v>169</v>
      </c>
      <c r="I18" s="5">
        <v>1</v>
      </c>
      <c r="J18" s="16">
        <v>0</v>
      </c>
    </row>
    <row r="19" spans="1:10" ht="21.75" customHeight="1" x14ac:dyDescent="0.3">
      <c r="A19" s="1">
        <v>11</v>
      </c>
      <c r="B19" s="14" t="s">
        <v>67</v>
      </c>
      <c r="C19" s="1" t="s">
        <v>67</v>
      </c>
      <c r="D19" s="1">
        <v>5</v>
      </c>
      <c r="E19" s="5">
        <v>2</v>
      </c>
      <c r="F19" s="5">
        <v>3</v>
      </c>
      <c r="H19" s="11" t="s">
        <v>179</v>
      </c>
      <c r="I19" s="5">
        <v>1</v>
      </c>
      <c r="J19" s="16">
        <v>0</v>
      </c>
    </row>
    <row r="20" spans="1:10" ht="21.75" customHeight="1" x14ac:dyDescent="0.3">
      <c r="A20" s="1">
        <v>12</v>
      </c>
      <c r="B20" s="14" t="s">
        <v>68</v>
      </c>
      <c r="C20" s="1" t="s">
        <v>68</v>
      </c>
      <c r="D20" s="1">
        <v>3</v>
      </c>
      <c r="E20" s="5">
        <v>1</v>
      </c>
      <c r="F20" s="5">
        <v>2</v>
      </c>
      <c r="H20" s="11" t="s">
        <v>180</v>
      </c>
      <c r="I20" s="5">
        <v>1</v>
      </c>
      <c r="J20" s="16">
        <v>1</v>
      </c>
    </row>
    <row r="21" spans="1:10" ht="21.75" customHeight="1" x14ac:dyDescent="0.3">
      <c r="A21" s="1">
        <v>13</v>
      </c>
      <c r="B21" s="14" t="s">
        <v>69</v>
      </c>
      <c r="C21" s="1" t="s">
        <v>185</v>
      </c>
      <c r="D21" s="1">
        <v>0</v>
      </c>
      <c r="E21" s="5">
        <v>0</v>
      </c>
      <c r="F21" s="5">
        <v>0</v>
      </c>
      <c r="H21" s="11" t="s">
        <v>181</v>
      </c>
      <c r="I21" s="5">
        <v>1</v>
      </c>
      <c r="J21" s="16">
        <v>0</v>
      </c>
    </row>
    <row r="22" spans="1:10" ht="21.75" customHeight="1" x14ac:dyDescent="0.3">
      <c r="A22" s="1">
        <v>14</v>
      </c>
      <c r="B22" s="14" t="s">
        <v>70</v>
      </c>
      <c r="C22" s="1" t="s">
        <v>185</v>
      </c>
      <c r="D22" s="1">
        <v>0</v>
      </c>
      <c r="E22" s="5">
        <v>0</v>
      </c>
      <c r="F22" s="5">
        <v>0</v>
      </c>
      <c r="H22" s="11" t="s">
        <v>182</v>
      </c>
      <c r="I22" s="5">
        <v>1</v>
      </c>
      <c r="J22" s="16">
        <v>0</v>
      </c>
    </row>
    <row r="23" spans="1:10" ht="21.75" customHeight="1" x14ac:dyDescent="0.3">
      <c r="A23" s="1">
        <v>15</v>
      </c>
      <c r="B23" s="14" t="s">
        <v>71</v>
      </c>
      <c r="C23" s="1" t="s">
        <v>169</v>
      </c>
      <c r="D23" s="1">
        <v>1</v>
      </c>
      <c r="E23" s="5">
        <v>1</v>
      </c>
      <c r="F23" s="5">
        <v>0</v>
      </c>
      <c r="H23" s="11" t="s">
        <v>183</v>
      </c>
      <c r="I23" s="5">
        <v>0</v>
      </c>
      <c r="J23" s="16">
        <v>1</v>
      </c>
    </row>
    <row r="24" spans="1:10" ht="21.75" customHeight="1" x14ac:dyDescent="0.3">
      <c r="A24" s="1">
        <v>16</v>
      </c>
      <c r="B24" s="14" t="s">
        <v>72</v>
      </c>
      <c r="C24" s="1" t="s">
        <v>185</v>
      </c>
      <c r="D24" s="1">
        <v>0</v>
      </c>
      <c r="E24" s="5">
        <v>0</v>
      </c>
      <c r="F24" s="5">
        <v>0</v>
      </c>
      <c r="H24" s="11" t="s">
        <v>175</v>
      </c>
      <c r="I24" s="5">
        <v>1</v>
      </c>
      <c r="J24" s="16">
        <v>0</v>
      </c>
    </row>
    <row r="25" spans="1:10" ht="21.75" customHeight="1" x14ac:dyDescent="0.3">
      <c r="A25" s="37">
        <v>17</v>
      </c>
      <c r="B25" s="46" t="s">
        <v>73</v>
      </c>
      <c r="C25" s="1" t="s">
        <v>179</v>
      </c>
      <c r="D25" s="1">
        <v>1</v>
      </c>
      <c r="E25" s="5">
        <v>1</v>
      </c>
      <c r="F25" s="5">
        <v>0</v>
      </c>
      <c r="H25" s="15" t="s">
        <v>176</v>
      </c>
      <c r="I25" s="5">
        <v>1</v>
      </c>
      <c r="J25" s="16">
        <v>1</v>
      </c>
    </row>
    <row r="26" spans="1:10" ht="21.75" customHeight="1" x14ac:dyDescent="0.3">
      <c r="A26" s="37"/>
      <c r="B26" s="46"/>
      <c r="C26" s="1" t="s">
        <v>180</v>
      </c>
      <c r="D26" s="1">
        <v>2</v>
      </c>
      <c r="E26" s="5">
        <v>1</v>
      </c>
      <c r="F26" s="5">
        <v>1</v>
      </c>
      <c r="H26" s="11" t="s">
        <v>177</v>
      </c>
      <c r="I26" s="5">
        <v>3</v>
      </c>
      <c r="J26" s="16">
        <v>2</v>
      </c>
    </row>
    <row r="27" spans="1:10" ht="21.75" customHeight="1" x14ac:dyDescent="0.3">
      <c r="A27" s="37"/>
      <c r="B27" s="46"/>
      <c r="C27" s="1" t="s">
        <v>181</v>
      </c>
      <c r="D27" s="1">
        <v>1</v>
      </c>
      <c r="E27" s="5">
        <v>1</v>
      </c>
      <c r="F27" s="5">
        <v>0</v>
      </c>
      <c r="H27" s="11" t="s">
        <v>178</v>
      </c>
      <c r="I27" s="5">
        <v>1</v>
      </c>
      <c r="J27" s="16">
        <v>1</v>
      </c>
    </row>
    <row r="28" spans="1:10" ht="21.75" customHeight="1" x14ac:dyDescent="0.3">
      <c r="A28" s="37"/>
      <c r="B28" s="46"/>
      <c r="C28" s="1" t="s">
        <v>182</v>
      </c>
      <c r="D28" s="1">
        <v>1</v>
      </c>
      <c r="E28" s="5">
        <v>1</v>
      </c>
      <c r="F28" s="5">
        <v>0</v>
      </c>
      <c r="H28" s="19" t="s">
        <v>195</v>
      </c>
      <c r="I28" s="20">
        <v>1</v>
      </c>
      <c r="J28" s="21">
        <v>2</v>
      </c>
    </row>
    <row r="29" spans="1:10" ht="21.75" customHeight="1" x14ac:dyDescent="0.3">
      <c r="A29" s="37"/>
      <c r="B29" s="46"/>
      <c r="C29" s="1" t="s">
        <v>183</v>
      </c>
      <c r="D29" s="1">
        <v>1</v>
      </c>
      <c r="E29" s="5">
        <v>0</v>
      </c>
      <c r="F29" s="5">
        <v>1</v>
      </c>
    </row>
    <row r="30" spans="1:10" ht="21.75" customHeight="1" x14ac:dyDescent="0.3">
      <c r="A30" s="37">
        <v>18</v>
      </c>
      <c r="B30" s="46" t="s">
        <v>74</v>
      </c>
      <c r="C30" s="1" t="s">
        <v>175</v>
      </c>
      <c r="D30" s="1">
        <v>1</v>
      </c>
      <c r="E30" s="5">
        <v>1</v>
      </c>
      <c r="F30" s="5">
        <v>0</v>
      </c>
    </row>
    <row r="31" spans="1:10" ht="21.75" customHeight="1" x14ac:dyDescent="0.3">
      <c r="A31" s="37"/>
      <c r="B31" s="46"/>
      <c r="C31" s="14" t="s">
        <v>176</v>
      </c>
      <c r="D31" s="1">
        <v>2</v>
      </c>
      <c r="E31" s="5">
        <v>1</v>
      </c>
      <c r="F31" s="5">
        <v>1</v>
      </c>
    </row>
    <row r="32" spans="1:10" ht="21.75" customHeight="1" x14ac:dyDescent="0.3">
      <c r="A32" s="37"/>
      <c r="B32" s="46"/>
      <c r="C32" s="1" t="s">
        <v>177</v>
      </c>
      <c r="D32" s="1">
        <v>5</v>
      </c>
      <c r="E32" s="5">
        <v>3</v>
      </c>
      <c r="F32" s="5">
        <v>2</v>
      </c>
    </row>
    <row r="33" spans="1:6" ht="21.75" customHeight="1" x14ac:dyDescent="0.3">
      <c r="A33" s="37"/>
      <c r="B33" s="46"/>
      <c r="C33" s="1" t="s">
        <v>178</v>
      </c>
      <c r="D33" s="1">
        <v>2</v>
      </c>
      <c r="E33" s="5">
        <v>1</v>
      </c>
      <c r="F33" s="5">
        <v>1</v>
      </c>
    </row>
    <row r="34" spans="1:6" ht="21.75" customHeight="1" x14ac:dyDescent="0.3">
      <c r="A34" s="1">
        <v>19</v>
      </c>
      <c r="B34" s="14" t="s">
        <v>75</v>
      </c>
      <c r="C34" s="14" t="s">
        <v>75</v>
      </c>
      <c r="D34" s="1">
        <v>3</v>
      </c>
      <c r="E34" s="5">
        <v>1</v>
      </c>
      <c r="F34" s="5">
        <v>2</v>
      </c>
    </row>
    <row r="35" spans="1:6" ht="21.75" customHeight="1" x14ac:dyDescent="0.3">
      <c r="A35" s="38" t="s">
        <v>77</v>
      </c>
      <c r="B35" s="39"/>
      <c r="C35" s="40"/>
      <c r="D35" s="1">
        <f>SUM(D3:D34)</f>
        <v>51</v>
      </c>
      <c r="E35" s="1">
        <f t="shared" ref="E35:F35" si="0">SUM(E3:E34)</f>
        <v>22</v>
      </c>
      <c r="F35" s="1">
        <f t="shared" si="0"/>
        <v>29</v>
      </c>
    </row>
  </sheetData>
  <mergeCells count="12">
    <mergeCell ref="A1:F1"/>
    <mergeCell ref="A35:C35"/>
    <mergeCell ref="B17:B18"/>
    <mergeCell ref="A17:A18"/>
    <mergeCell ref="A4:A8"/>
    <mergeCell ref="B9:B10"/>
    <mergeCell ref="A9:A10"/>
    <mergeCell ref="B4:B8"/>
    <mergeCell ref="B30:B33"/>
    <mergeCell ref="A30:A33"/>
    <mergeCell ref="B25:B29"/>
    <mergeCell ref="A25:A29"/>
  </mergeCells>
  <pageMargins left="0.70866141732283472" right="0.70866141732283472" top="0.74803149606299213" bottom="0.74803149606299213" header="0.31496062992125984" footer="0.31496062992125984"/>
  <pageSetup paperSize="9" scale="98" orientation="portrait" horizontalDpi="0" verticalDpi="0" r:id="rId2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N58"/>
  <sheetViews>
    <sheetView zoomScale="85" zoomScaleNormal="85" workbookViewId="0">
      <selection activeCell="B52" sqref="B52:B55"/>
    </sheetView>
  </sheetViews>
  <sheetFormatPr defaultColWidth="9.109375" defaultRowHeight="18" x14ac:dyDescent="0.35"/>
  <cols>
    <col min="1" max="1" width="5.88671875" style="2" bestFit="1" customWidth="1"/>
    <col min="2" max="2" width="21.44140625" style="2" customWidth="1"/>
    <col min="3" max="3" width="22.88671875" style="2" customWidth="1"/>
    <col min="4" max="4" width="13.5546875" style="2" bestFit="1" customWidth="1"/>
    <col min="5" max="6" width="9.109375" style="8"/>
    <col min="7" max="7" width="9.109375" style="2"/>
    <col min="8" max="8" width="16.88671875" style="2" customWidth="1"/>
    <col min="9" max="11" width="9.109375" style="2"/>
    <col min="12" max="12" width="13.5546875" style="2" bestFit="1" customWidth="1"/>
    <col min="13" max="13" width="11.6640625" style="2" bestFit="1" customWidth="1"/>
    <col min="14" max="16384" width="9.109375" style="2"/>
  </cols>
  <sheetData>
    <row r="1" spans="1:14" ht="27.75" customHeight="1" x14ac:dyDescent="0.35">
      <c r="A1" s="47" t="s">
        <v>184</v>
      </c>
      <c r="B1" s="47"/>
      <c r="C1" s="47"/>
      <c r="D1" s="47"/>
      <c r="E1" s="47"/>
      <c r="F1" s="47"/>
    </row>
    <row r="2" spans="1:14" ht="36" x14ac:dyDescent="0.35">
      <c r="A2" s="3" t="s">
        <v>0</v>
      </c>
      <c r="B2" s="3" t="s">
        <v>1</v>
      </c>
      <c r="C2" s="3" t="s">
        <v>78</v>
      </c>
      <c r="D2" s="3" t="s">
        <v>2</v>
      </c>
      <c r="E2" s="1" t="s">
        <v>186</v>
      </c>
      <c r="F2" s="1" t="s">
        <v>187</v>
      </c>
      <c r="H2" s="24" t="s">
        <v>78</v>
      </c>
      <c r="I2" s="13" t="s">
        <v>186</v>
      </c>
      <c r="J2" s="18" t="s">
        <v>187</v>
      </c>
      <c r="L2" t="s">
        <v>196</v>
      </c>
      <c r="M2" t="s">
        <v>197</v>
      </c>
      <c r="N2"/>
    </row>
    <row r="3" spans="1:14" ht="24" customHeight="1" x14ac:dyDescent="0.35">
      <c r="A3" s="3">
        <v>1</v>
      </c>
      <c r="B3" s="3" t="s">
        <v>31</v>
      </c>
      <c r="C3" s="3" t="s">
        <v>138</v>
      </c>
      <c r="D3" s="3">
        <v>1</v>
      </c>
      <c r="E3" s="7">
        <v>1</v>
      </c>
      <c r="F3" s="7">
        <v>0</v>
      </c>
      <c r="H3" s="22" t="s">
        <v>138</v>
      </c>
      <c r="I3" s="7">
        <v>1</v>
      </c>
      <c r="J3" s="23">
        <v>0</v>
      </c>
      <c r="L3">
        <v>50</v>
      </c>
      <c r="M3">
        <v>36</v>
      </c>
      <c r="N3"/>
    </row>
    <row r="4" spans="1:14" ht="24" customHeight="1" x14ac:dyDescent="0.35">
      <c r="A4" s="47">
        <v>2</v>
      </c>
      <c r="B4" s="47" t="s">
        <v>32</v>
      </c>
      <c r="C4" s="3" t="s">
        <v>132</v>
      </c>
      <c r="D4" s="3">
        <v>3</v>
      </c>
      <c r="E4" s="7">
        <v>1</v>
      </c>
      <c r="F4" s="7">
        <v>2</v>
      </c>
      <c r="H4" s="22" t="s">
        <v>132</v>
      </c>
      <c r="I4" s="7">
        <v>1</v>
      </c>
      <c r="J4" s="23">
        <v>2</v>
      </c>
      <c r="L4"/>
      <c r="M4"/>
      <c r="N4"/>
    </row>
    <row r="5" spans="1:14" ht="24" customHeight="1" x14ac:dyDescent="0.35">
      <c r="A5" s="47"/>
      <c r="B5" s="47"/>
      <c r="C5" s="3" t="s">
        <v>133</v>
      </c>
      <c r="D5" s="3">
        <v>1</v>
      </c>
      <c r="E5" s="7">
        <v>1</v>
      </c>
      <c r="F5" s="7">
        <v>0</v>
      </c>
      <c r="H5" s="22" t="s">
        <v>133</v>
      </c>
      <c r="I5" s="7">
        <v>1</v>
      </c>
      <c r="J5" s="23">
        <v>0</v>
      </c>
      <c r="L5" t="s">
        <v>187</v>
      </c>
      <c r="M5">
        <v>36</v>
      </c>
      <c r="N5"/>
    </row>
    <row r="6" spans="1:14" ht="24" customHeight="1" x14ac:dyDescent="0.35">
      <c r="A6" s="3">
        <v>3</v>
      </c>
      <c r="B6" s="3" t="s">
        <v>33</v>
      </c>
      <c r="C6" s="4" t="s">
        <v>185</v>
      </c>
      <c r="D6" s="3">
        <v>0</v>
      </c>
      <c r="E6" s="7">
        <v>0</v>
      </c>
      <c r="F6" s="7">
        <v>0</v>
      </c>
      <c r="H6" s="22" t="s">
        <v>34</v>
      </c>
      <c r="I6" s="7">
        <v>1</v>
      </c>
      <c r="J6" s="23">
        <v>2</v>
      </c>
      <c r="L6" t="s">
        <v>186</v>
      </c>
      <c r="M6">
        <v>50</v>
      </c>
      <c r="N6"/>
    </row>
    <row r="7" spans="1:14" ht="24" customHeight="1" x14ac:dyDescent="0.35">
      <c r="A7" s="47">
        <v>4</v>
      </c>
      <c r="B7" s="47" t="s">
        <v>34</v>
      </c>
      <c r="C7" s="3" t="s">
        <v>34</v>
      </c>
      <c r="D7" s="3">
        <v>3</v>
      </c>
      <c r="E7" s="7">
        <v>1</v>
      </c>
      <c r="F7" s="7">
        <v>2</v>
      </c>
      <c r="H7" s="22" t="s">
        <v>145</v>
      </c>
      <c r="I7" s="7">
        <v>1</v>
      </c>
      <c r="J7" s="23">
        <v>1</v>
      </c>
      <c r="L7"/>
      <c r="M7"/>
      <c r="N7"/>
    </row>
    <row r="8" spans="1:14" ht="24" customHeight="1" x14ac:dyDescent="0.35">
      <c r="A8" s="47"/>
      <c r="B8" s="47"/>
      <c r="C8" s="3" t="s">
        <v>145</v>
      </c>
      <c r="D8" s="3">
        <v>2</v>
      </c>
      <c r="E8" s="7">
        <v>1</v>
      </c>
      <c r="F8" s="7">
        <v>1</v>
      </c>
      <c r="H8" s="22" t="s">
        <v>146</v>
      </c>
      <c r="I8" s="7">
        <v>0</v>
      </c>
      <c r="J8" s="23">
        <v>1</v>
      </c>
      <c r="L8"/>
      <c r="M8"/>
      <c r="N8"/>
    </row>
    <row r="9" spans="1:14" ht="24" customHeight="1" x14ac:dyDescent="0.35">
      <c r="A9" s="47"/>
      <c r="B9" s="47"/>
      <c r="C9" s="3" t="s">
        <v>146</v>
      </c>
      <c r="D9" s="3">
        <v>1</v>
      </c>
      <c r="E9" s="7">
        <v>0</v>
      </c>
      <c r="F9" s="7">
        <v>1</v>
      </c>
      <c r="H9" s="22" t="s">
        <v>147</v>
      </c>
      <c r="I9" s="7">
        <v>3</v>
      </c>
      <c r="J9" s="23">
        <v>1</v>
      </c>
      <c r="L9"/>
      <c r="M9"/>
      <c r="N9"/>
    </row>
    <row r="10" spans="1:14" ht="24" customHeight="1" x14ac:dyDescent="0.35">
      <c r="A10" s="47"/>
      <c r="B10" s="47"/>
      <c r="C10" s="3" t="s">
        <v>147</v>
      </c>
      <c r="D10" s="3">
        <v>4</v>
      </c>
      <c r="E10" s="7">
        <v>3</v>
      </c>
      <c r="F10" s="7">
        <v>1</v>
      </c>
      <c r="H10" s="22" t="s">
        <v>130</v>
      </c>
      <c r="I10" s="7">
        <v>0</v>
      </c>
      <c r="J10" s="23">
        <v>1</v>
      </c>
      <c r="L10"/>
      <c r="M10"/>
      <c r="N10"/>
    </row>
    <row r="11" spans="1:14" ht="24" customHeight="1" x14ac:dyDescent="0.35">
      <c r="A11" s="47">
        <v>5</v>
      </c>
      <c r="B11" s="47" t="s">
        <v>35</v>
      </c>
      <c r="C11" s="3" t="s">
        <v>130</v>
      </c>
      <c r="D11" s="3">
        <v>1</v>
      </c>
      <c r="E11" s="7">
        <v>0</v>
      </c>
      <c r="F11" s="7">
        <v>1</v>
      </c>
      <c r="H11" s="22" t="s">
        <v>131</v>
      </c>
      <c r="I11" s="7">
        <v>2</v>
      </c>
      <c r="J11" s="23">
        <v>0</v>
      </c>
      <c r="L11"/>
      <c r="M11"/>
      <c r="N11"/>
    </row>
    <row r="12" spans="1:14" ht="24" customHeight="1" x14ac:dyDescent="0.35">
      <c r="A12" s="47"/>
      <c r="B12" s="47"/>
      <c r="C12" s="3" t="s">
        <v>131</v>
      </c>
      <c r="D12" s="3">
        <v>2</v>
      </c>
      <c r="E12" s="7">
        <v>2</v>
      </c>
      <c r="F12" s="7">
        <v>0</v>
      </c>
      <c r="H12" s="22" t="s">
        <v>36</v>
      </c>
      <c r="I12" s="7">
        <v>1</v>
      </c>
      <c r="J12" s="23">
        <v>1</v>
      </c>
      <c r="L12"/>
      <c r="M12"/>
      <c r="N12"/>
    </row>
    <row r="13" spans="1:14" ht="24" customHeight="1" x14ac:dyDescent="0.35">
      <c r="A13" s="3">
        <v>6</v>
      </c>
      <c r="B13" s="3" t="s">
        <v>36</v>
      </c>
      <c r="C13" s="3" t="s">
        <v>36</v>
      </c>
      <c r="D13" s="3">
        <v>2</v>
      </c>
      <c r="E13" s="7">
        <v>1</v>
      </c>
      <c r="F13" s="7">
        <v>1</v>
      </c>
      <c r="G13" s="2" t="s">
        <v>190</v>
      </c>
      <c r="H13" s="22" t="s">
        <v>37</v>
      </c>
      <c r="I13" s="7">
        <v>2</v>
      </c>
      <c r="J13" s="23">
        <v>0</v>
      </c>
      <c r="L13"/>
      <c r="M13"/>
      <c r="N13"/>
    </row>
    <row r="14" spans="1:14" ht="24" customHeight="1" x14ac:dyDescent="0.35">
      <c r="A14" s="3">
        <v>7</v>
      </c>
      <c r="B14" s="3" t="s">
        <v>37</v>
      </c>
      <c r="C14" s="3" t="s">
        <v>37</v>
      </c>
      <c r="D14" s="3">
        <v>2</v>
      </c>
      <c r="E14" s="7">
        <v>2</v>
      </c>
      <c r="F14" s="7">
        <v>0</v>
      </c>
      <c r="H14" s="22" t="s">
        <v>128</v>
      </c>
      <c r="I14" s="7">
        <v>1</v>
      </c>
      <c r="J14" s="23">
        <v>0</v>
      </c>
      <c r="L14"/>
      <c r="M14"/>
      <c r="N14"/>
    </row>
    <row r="15" spans="1:14" ht="24" customHeight="1" x14ac:dyDescent="0.35">
      <c r="A15" s="47">
        <v>8</v>
      </c>
      <c r="B15" s="47" t="s">
        <v>38</v>
      </c>
      <c r="C15" s="3" t="s">
        <v>128</v>
      </c>
      <c r="D15" s="3">
        <v>1</v>
      </c>
      <c r="E15" s="7">
        <v>1</v>
      </c>
      <c r="F15" s="7">
        <v>0</v>
      </c>
      <c r="H15" s="22" t="s">
        <v>129</v>
      </c>
      <c r="I15" s="7">
        <v>0</v>
      </c>
      <c r="J15" s="23">
        <v>1</v>
      </c>
      <c r="L15"/>
      <c r="M15"/>
      <c r="N15"/>
    </row>
    <row r="16" spans="1:14" ht="24" customHeight="1" x14ac:dyDescent="0.35">
      <c r="A16" s="47"/>
      <c r="B16" s="47"/>
      <c r="C16" s="3" t="s">
        <v>129</v>
      </c>
      <c r="D16" s="3">
        <v>1</v>
      </c>
      <c r="E16" s="7">
        <v>0</v>
      </c>
      <c r="F16" s="7">
        <v>1</v>
      </c>
      <c r="H16" s="22" t="s">
        <v>37</v>
      </c>
      <c r="I16" s="7">
        <v>1</v>
      </c>
      <c r="J16" s="23">
        <v>1</v>
      </c>
      <c r="L16"/>
      <c r="M16"/>
      <c r="N16"/>
    </row>
    <row r="17" spans="1:14" ht="24" customHeight="1" x14ac:dyDescent="0.35">
      <c r="A17" s="48">
        <v>9</v>
      </c>
      <c r="B17" s="48" t="s">
        <v>39</v>
      </c>
      <c r="C17" s="3" t="s">
        <v>37</v>
      </c>
      <c r="D17" s="3">
        <v>2</v>
      </c>
      <c r="E17" s="7">
        <v>1</v>
      </c>
      <c r="F17" s="7">
        <v>1</v>
      </c>
      <c r="H17" s="22" t="s">
        <v>142</v>
      </c>
      <c r="I17" s="7">
        <v>1</v>
      </c>
      <c r="J17" s="23">
        <v>0</v>
      </c>
      <c r="L17"/>
      <c r="M17"/>
      <c r="N17"/>
    </row>
    <row r="18" spans="1:14" ht="24" customHeight="1" x14ac:dyDescent="0.35">
      <c r="A18" s="49"/>
      <c r="B18" s="49"/>
      <c r="C18" s="3" t="s">
        <v>142</v>
      </c>
      <c r="D18" s="3">
        <v>1</v>
      </c>
      <c r="E18" s="7">
        <v>1</v>
      </c>
      <c r="F18" s="7">
        <v>0</v>
      </c>
      <c r="H18" s="22" t="s">
        <v>140</v>
      </c>
      <c r="I18" s="7">
        <v>1</v>
      </c>
      <c r="J18" s="23">
        <v>0</v>
      </c>
      <c r="L18"/>
      <c r="M18"/>
      <c r="N18"/>
    </row>
    <row r="19" spans="1:14" ht="24" customHeight="1" x14ac:dyDescent="0.35">
      <c r="A19" s="48">
        <v>10</v>
      </c>
      <c r="B19" s="48" t="s">
        <v>40</v>
      </c>
      <c r="C19" s="3" t="s">
        <v>140</v>
      </c>
      <c r="D19" s="3">
        <v>1</v>
      </c>
      <c r="E19" s="7">
        <v>1</v>
      </c>
      <c r="F19" s="7">
        <v>0</v>
      </c>
      <c r="H19" s="22" t="s">
        <v>141</v>
      </c>
      <c r="I19" s="7">
        <v>1</v>
      </c>
      <c r="J19" s="23">
        <v>0</v>
      </c>
      <c r="L19"/>
      <c r="M19"/>
      <c r="N19"/>
    </row>
    <row r="20" spans="1:14" ht="24" customHeight="1" x14ac:dyDescent="0.35">
      <c r="A20" s="49"/>
      <c r="B20" s="49"/>
      <c r="C20" s="3" t="s">
        <v>141</v>
      </c>
      <c r="D20" s="3">
        <v>1</v>
      </c>
      <c r="E20" s="7">
        <v>1</v>
      </c>
      <c r="F20" s="7">
        <v>0</v>
      </c>
      <c r="H20" s="22" t="s">
        <v>43</v>
      </c>
      <c r="I20" s="7">
        <v>1</v>
      </c>
      <c r="J20" s="23">
        <v>1</v>
      </c>
    </row>
    <row r="21" spans="1:14" ht="24" customHeight="1" x14ac:dyDescent="0.35">
      <c r="A21" s="3">
        <v>11</v>
      </c>
      <c r="B21" s="3" t="s">
        <v>41</v>
      </c>
      <c r="C21" s="4" t="s">
        <v>185</v>
      </c>
      <c r="D21" s="3">
        <v>0</v>
      </c>
      <c r="E21" s="7">
        <v>0</v>
      </c>
      <c r="F21" s="7">
        <v>0</v>
      </c>
      <c r="H21" s="22" t="s">
        <v>127</v>
      </c>
      <c r="I21" s="7">
        <v>1</v>
      </c>
      <c r="J21" s="23">
        <v>0</v>
      </c>
    </row>
    <row r="22" spans="1:14" ht="24" customHeight="1" x14ac:dyDescent="0.35">
      <c r="A22" s="3">
        <v>12</v>
      </c>
      <c r="B22" s="3" t="s">
        <v>42</v>
      </c>
      <c r="C22" s="4" t="s">
        <v>185</v>
      </c>
      <c r="D22" s="3">
        <v>0</v>
      </c>
      <c r="E22" s="7">
        <v>0</v>
      </c>
      <c r="F22" s="7">
        <v>0</v>
      </c>
      <c r="H22" s="22" t="s">
        <v>44</v>
      </c>
      <c r="I22" s="7">
        <v>0</v>
      </c>
      <c r="J22" s="23">
        <v>1</v>
      </c>
    </row>
    <row r="23" spans="1:14" ht="24" customHeight="1" x14ac:dyDescent="0.35">
      <c r="A23" s="48">
        <v>13</v>
      </c>
      <c r="B23" s="47" t="s">
        <v>43</v>
      </c>
      <c r="C23" s="3" t="s">
        <v>43</v>
      </c>
      <c r="D23" s="3">
        <v>2</v>
      </c>
      <c r="E23" s="7">
        <v>1</v>
      </c>
      <c r="F23" s="7">
        <v>1</v>
      </c>
      <c r="H23" s="22" t="s">
        <v>189</v>
      </c>
      <c r="I23" s="7">
        <v>1</v>
      </c>
      <c r="J23" s="23">
        <v>0</v>
      </c>
    </row>
    <row r="24" spans="1:14" ht="24" customHeight="1" x14ac:dyDescent="0.35">
      <c r="A24" s="49"/>
      <c r="B24" s="47"/>
      <c r="C24" s="3" t="s">
        <v>127</v>
      </c>
      <c r="D24" s="3">
        <v>1</v>
      </c>
      <c r="E24" s="7">
        <v>1</v>
      </c>
      <c r="F24" s="7">
        <v>0</v>
      </c>
      <c r="H24" s="22" t="s">
        <v>135</v>
      </c>
      <c r="I24" s="7">
        <v>0</v>
      </c>
      <c r="J24" s="23">
        <v>1</v>
      </c>
    </row>
    <row r="25" spans="1:14" ht="24" customHeight="1" x14ac:dyDescent="0.35">
      <c r="A25" s="48">
        <v>14</v>
      </c>
      <c r="B25" s="48" t="s">
        <v>44</v>
      </c>
      <c r="C25" s="3" t="s">
        <v>44</v>
      </c>
      <c r="D25" s="3">
        <v>1</v>
      </c>
      <c r="E25" s="7">
        <v>0</v>
      </c>
      <c r="F25" s="7">
        <v>1</v>
      </c>
      <c r="H25" s="22" t="s">
        <v>136</v>
      </c>
      <c r="I25" s="7">
        <v>1</v>
      </c>
      <c r="J25" s="23">
        <v>1</v>
      </c>
    </row>
    <row r="26" spans="1:14" ht="24" customHeight="1" x14ac:dyDescent="0.35">
      <c r="A26" s="49"/>
      <c r="B26" s="49"/>
      <c r="C26" s="3" t="s">
        <v>189</v>
      </c>
      <c r="D26" s="3">
        <v>1</v>
      </c>
      <c r="E26" s="7">
        <v>1</v>
      </c>
      <c r="F26" s="7">
        <v>0</v>
      </c>
      <c r="H26" s="22" t="s">
        <v>137</v>
      </c>
      <c r="I26" s="7">
        <v>1</v>
      </c>
      <c r="J26" s="23">
        <v>0</v>
      </c>
    </row>
    <row r="27" spans="1:14" ht="24" customHeight="1" x14ac:dyDescent="0.35">
      <c r="A27" s="47">
        <v>15</v>
      </c>
      <c r="B27" s="47" t="s">
        <v>45</v>
      </c>
      <c r="C27" s="3" t="s">
        <v>135</v>
      </c>
      <c r="D27" s="3">
        <v>1</v>
      </c>
      <c r="E27" s="7">
        <v>0</v>
      </c>
      <c r="F27" s="7">
        <v>1</v>
      </c>
      <c r="H27" s="22" t="s">
        <v>82</v>
      </c>
      <c r="I27" s="7">
        <v>1</v>
      </c>
      <c r="J27" s="23">
        <v>0</v>
      </c>
    </row>
    <row r="28" spans="1:14" ht="24" customHeight="1" x14ac:dyDescent="0.35">
      <c r="A28" s="47"/>
      <c r="B28" s="47"/>
      <c r="C28" s="3" t="s">
        <v>136</v>
      </c>
      <c r="D28" s="3">
        <v>2</v>
      </c>
      <c r="E28" s="7">
        <v>1</v>
      </c>
      <c r="F28" s="7">
        <v>1</v>
      </c>
      <c r="H28" s="22" t="s">
        <v>139</v>
      </c>
      <c r="I28" s="7">
        <v>1</v>
      </c>
      <c r="J28" s="23">
        <v>1</v>
      </c>
    </row>
    <row r="29" spans="1:14" ht="24" customHeight="1" x14ac:dyDescent="0.35">
      <c r="A29" s="47"/>
      <c r="B29" s="47"/>
      <c r="C29" s="3" t="s">
        <v>137</v>
      </c>
      <c r="D29" s="3">
        <v>1</v>
      </c>
      <c r="E29" s="7">
        <v>1</v>
      </c>
      <c r="F29" s="7">
        <v>0</v>
      </c>
      <c r="H29" s="22" t="s">
        <v>48</v>
      </c>
      <c r="I29" s="7">
        <v>3</v>
      </c>
      <c r="J29" s="23">
        <v>1</v>
      </c>
    </row>
    <row r="30" spans="1:14" ht="24" customHeight="1" x14ac:dyDescent="0.35">
      <c r="A30" s="47">
        <v>16</v>
      </c>
      <c r="B30" s="47" t="s">
        <v>46</v>
      </c>
      <c r="C30" s="3" t="s">
        <v>82</v>
      </c>
      <c r="D30" s="3">
        <v>1</v>
      </c>
      <c r="E30" s="7">
        <v>1</v>
      </c>
      <c r="F30" s="7">
        <v>0</v>
      </c>
      <c r="H30" s="22" t="s">
        <v>149</v>
      </c>
      <c r="I30" s="7">
        <v>0</v>
      </c>
      <c r="J30" s="23">
        <v>1</v>
      </c>
    </row>
    <row r="31" spans="1:14" ht="24" customHeight="1" x14ac:dyDescent="0.35">
      <c r="A31" s="47"/>
      <c r="B31" s="47"/>
      <c r="C31" s="3" t="s">
        <v>139</v>
      </c>
      <c r="D31" s="3">
        <v>2</v>
      </c>
      <c r="E31" s="7">
        <v>1</v>
      </c>
      <c r="F31" s="7">
        <v>1</v>
      </c>
      <c r="H31" s="22" t="s">
        <v>150</v>
      </c>
      <c r="I31" s="7">
        <v>0</v>
      </c>
      <c r="J31" s="23">
        <v>1</v>
      </c>
    </row>
    <row r="32" spans="1:14" ht="24" customHeight="1" x14ac:dyDescent="0.35">
      <c r="A32" s="3">
        <v>17</v>
      </c>
      <c r="B32" s="3" t="s">
        <v>47</v>
      </c>
      <c r="C32" s="4" t="s">
        <v>185</v>
      </c>
      <c r="D32" s="3">
        <v>0</v>
      </c>
      <c r="E32" s="7">
        <v>0</v>
      </c>
      <c r="F32" s="7">
        <v>0</v>
      </c>
      <c r="H32" s="22" t="s">
        <v>54</v>
      </c>
      <c r="I32" s="7">
        <v>1</v>
      </c>
      <c r="J32" s="23">
        <v>0</v>
      </c>
    </row>
    <row r="33" spans="1:10" ht="24" customHeight="1" x14ac:dyDescent="0.35">
      <c r="A33" s="47">
        <v>18</v>
      </c>
      <c r="B33" s="47" t="s">
        <v>48</v>
      </c>
      <c r="C33" s="3" t="s">
        <v>48</v>
      </c>
      <c r="D33" s="3">
        <v>4</v>
      </c>
      <c r="E33" s="7">
        <v>3</v>
      </c>
      <c r="F33" s="7">
        <v>1</v>
      </c>
      <c r="H33" s="22" t="s">
        <v>148</v>
      </c>
      <c r="I33" s="7">
        <v>4</v>
      </c>
      <c r="J33" s="23">
        <v>2</v>
      </c>
    </row>
    <row r="34" spans="1:10" ht="24" customHeight="1" x14ac:dyDescent="0.35">
      <c r="A34" s="47"/>
      <c r="B34" s="47"/>
      <c r="C34" s="3" t="s">
        <v>149</v>
      </c>
      <c r="D34" s="3">
        <v>1</v>
      </c>
      <c r="E34" s="7">
        <v>0</v>
      </c>
      <c r="F34" s="7">
        <v>1</v>
      </c>
      <c r="H34" s="22" t="s">
        <v>134</v>
      </c>
      <c r="I34" s="7">
        <v>0</v>
      </c>
      <c r="J34" s="23">
        <v>1</v>
      </c>
    </row>
    <row r="35" spans="1:10" ht="24" customHeight="1" x14ac:dyDescent="0.35">
      <c r="A35" s="47"/>
      <c r="B35" s="47"/>
      <c r="C35" s="3" t="s">
        <v>150</v>
      </c>
      <c r="D35" s="3">
        <v>1</v>
      </c>
      <c r="E35" s="7">
        <v>0</v>
      </c>
      <c r="F35" s="7">
        <v>1</v>
      </c>
      <c r="H35" s="22" t="s">
        <v>49</v>
      </c>
      <c r="I35" s="7">
        <v>0</v>
      </c>
      <c r="J35" s="23">
        <v>1</v>
      </c>
    </row>
    <row r="36" spans="1:10" ht="24" customHeight="1" x14ac:dyDescent="0.35">
      <c r="A36" s="47"/>
      <c r="B36" s="47"/>
      <c r="C36" s="3" t="s">
        <v>54</v>
      </c>
      <c r="D36" s="3">
        <v>1</v>
      </c>
      <c r="E36" s="7">
        <v>1</v>
      </c>
      <c r="F36" s="7">
        <v>0</v>
      </c>
      <c r="H36" s="22" t="s">
        <v>51</v>
      </c>
      <c r="I36" s="7">
        <v>1</v>
      </c>
      <c r="J36" s="23">
        <v>0</v>
      </c>
    </row>
    <row r="37" spans="1:10" ht="24" customHeight="1" x14ac:dyDescent="0.35">
      <c r="A37" s="47"/>
      <c r="B37" s="47"/>
      <c r="C37" s="3" t="s">
        <v>148</v>
      </c>
      <c r="D37" s="3">
        <v>6</v>
      </c>
      <c r="E37" s="7">
        <v>4</v>
      </c>
      <c r="F37" s="7">
        <v>2</v>
      </c>
      <c r="H37" s="22" t="s">
        <v>155</v>
      </c>
      <c r="I37" s="7">
        <v>2</v>
      </c>
      <c r="J37" s="23">
        <v>0</v>
      </c>
    </row>
    <row r="38" spans="1:10" ht="24" customHeight="1" x14ac:dyDescent="0.35">
      <c r="A38" s="47">
        <v>19</v>
      </c>
      <c r="B38" s="47" t="s">
        <v>49</v>
      </c>
      <c r="C38" s="3" t="s">
        <v>134</v>
      </c>
      <c r="D38" s="3">
        <v>1</v>
      </c>
      <c r="E38" s="7">
        <v>0</v>
      </c>
      <c r="F38" s="7">
        <v>1</v>
      </c>
      <c r="H38" s="22" t="s">
        <v>156</v>
      </c>
      <c r="I38" s="7">
        <v>1</v>
      </c>
      <c r="J38" s="23">
        <v>0</v>
      </c>
    </row>
    <row r="39" spans="1:10" ht="24" customHeight="1" x14ac:dyDescent="0.35">
      <c r="A39" s="47"/>
      <c r="B39" s="47"/>
      <c r="C39" s="3" t="s">
        <v>49</v>
      </c>
      <c r="D39" s="3">
        <v>1</v>
      </c>
      <c r="E39" s="7">
        <v>0</v>
      </c>
      <c r="F39" s="7">
        <v>1</v>
      </c>
      <c r="H39" s="22" t="s">
        <v>51</v>
      </c>
      <c r="I39" s="7">
        <v>1</v>
      </c>
      <c r="J39" s="23">
        <v>1</v>
      </c>
    </row>
    <row r="40" spans="1:10" ht="24" customHeight="1" x14ac:dyDescent="0.35">
      <c r="A40" s="47"/>
      <c r="B40" s="47"/>
      <c r="C40" s="3" t="s">
        <v>51</v>
      </c>
      <c r="D40" s="3">
        <v>1</v>
      </c>
      <c r="E40" s="7">
        <v>1</v>
      </c>
      <c r="F40" s="7">
        <v>0</v>
      </c>
      <c r="H40" s="22" t="s">
        <v>153</v>
      </c>
      <c r="I40" s="7">
        <v>1</v>
      </c>
      <c r="J40" s="23">
        <v>0</v>
      </c>
    </row>
    <row r="41" spans="1:10" ht="24" customHeight="1" x14ac:dyDescent="0.35">
      <c r="A41" s="47">
        <v>20</v>
      </c>
      <c r="B41" s="47" t="s">
        <v>50</v>
      </c>
      <c r="C41" s="3" t="s">
        <v>155</v>
      </c>
      <c r="D41" s="3">
        <v>2</v>
      </c>
      <c r="E41" s="7">
        <v>2</v>
      </c>
      <c r="F41" s="7">
        <v>0</v>
      </c>
      <c r="H41" s="22" t="s">
        <v>154</v>
      </c>
      <c r="I41" s="7">
        <v>3</v>
      </c>
      <c r="J41" s="23">
        <v>0</v>
      </c>
    </row>
    <row r="42" spans="1:10" ht="24" customHeight="1" x14ac:dyDescent="0.35">
      <c r="A42" s="47"/>
      <c r="B42" s="47"/>
      <c r="C42" s="3" t="s">
        <v>156</v>
      </c>
      <c r="D42" s="3">
        <v>1</v>
      </c>
      <c r="E42" s="7">
        <v>1</v>
      </c>
      <c r="F42" s="7">
        <v>0</v>
      </c>
      <c r="H42" s="22" t="s">
        <v>143</v>
      </c>
      <c r="I42" s="7">
        <v>0</v>
      </c>
      <c r="J42" s="23">
        <v>2</v>
      </c>
    </row>
    <row r="43" spans="1:10" ht="24" customHeight="1" x14ac:dyDescent="0.35">
      <c r="A43" s="47">
        <v>21</v>
      </c>
      <c r="B43" s="47" t="s">
        <v>51</v>
      </c>
      <c r="C43" s="3" t="s">
        <v>51</v>
      </c>
      <c r="D43" s="3">
        <v>2</v>
      </c>
      <c r="E43" s="7">
        <v>1</v>
      </c>
      <c r="F43" s="7">
        <v>1</v>
      </c>
      <c r="H43" s="22" t="s">
        <v>152</v>
      </c>
      <c r="I43" s="7">
        <v>0</v>
      </c>
      <c r="J43" s="23">
        <v>1</v>
      </c>
    </row>
    <row r="44" spans="1:10" ht="24" customHeight="1" x14ac:dyDescent="0.35">
      <c r="A44" s="47"/>
      <c r="B44" s="47"/>
      <c r="C44" s="3" t="s">
        <v>153</v>
      </c>
      <c r="D44" s="3">
        <v>1</v>
      </c>
      <c r="E44" s="7">
        <v>1</v>
      </c>
      <c r="F44" s="7">
        <v>0</v>
      </c>
      <c r="H44" s="22" t="s">
        <v>144</v>
      </c>
      <c r="I44" s="7">
        <v>0</v>
      </c>
      <c r="J44" s="23">
        <v>2</v>
      </c>
    </row>
    <row r="45" spans="1:10" ht="24" customHeight="1" x14ac:dyDescent="0.35">
      <c r="A45" s="47"/>
      <c r="B45" s="47"/>
      <c r="C45" s="3" t="s">
        <v>154</v>
      </c>
      <c r="D45" s="3">
        <v>3</v>
      </c>
      <c r="E45" s="7">
        <v>3</v>
      </c>
      <c r="F45" s="7">
        <v>0</v>
      </c>
      <c r="H45" s="22" t="s">
        <v>54</v>
      </c>
      <c r="I45" s="7">
        <v>1</v>
      </c>
      <c r="J45" s="23">
        <v>3</v>
      </c>
    </row>
    <row r="46" spans="1:10" ht="24" customHeight="1" x14ac:dyDescent="0.35">
      <c r="A46" s="47">
        <v>22</v>
      </c>
      <c r="B46" s="47" t="s">
        <v>52</v>
      </c>
      <c r="C46" s="3" t="s">
        <v>143</v>
      </c>
      <c r="D46" s="3">
        <v>2</v>
      </c>
      <c r="E46" s="7">
        <v>0</v>
      </c>
      <c r="F46" s="7">
        <v>2</v>
      </c>
      <c r="H46" s="22" t="s">
        <v>151</v>
      </c>
      <c r="I46" s="7">
        <v>1</v>
      </c>
      <c r="J46" s="23">
        <v>0</v>
      </c>
    </row>
    <row r="47" spans="1:10" ht="24" customHeight="1" x14ac:dyDescent="0.35">
      <c r="A47" s="47"/>
      <c r="B47" s="47"/>
      <c r="C47" s="3" t="s">
        <v>152</v>
      </c>
      <c r="D47" s="3">
        <v>1</v>
      </c>
      <c r="E47" s="7">
        <v>0</v>
      </c>
      <c r="F47" s="7">
        <v>1</v>
      </c>
      <c r="H47" s="22" t="s">
        <v>55</v>
      </c>
      <c r="I47" s="7">
        <v>1</v>
      </c>
      <c r="J47" s="23">
        <v>1</v>
      </c>
    </row>
    <row r="48" spans="1:10" ht="24" customHeight="1" x14ac:dyDescent="0.35">
      <c r="A48" s="47"/>
      <c r="B48" s="47"/>
      <c r="C48" s="3" t="s">
        <v>144</v>
      </c>
      <c r="D48" s="3">
        <v>2</v>
      </c>
      <c r="E48" s="7">
        <v>0</v>
      </c>
      <c r="F48" s="7">
        <v>2</v>
      </c>
      <c r="H48" s="22" t="s">
        <v>159</v>
      </c>
      <c r="I48" s="7">
        <v>2</v>
      </c>
      <c r="J48" s="23">
        <v>0</v>
      </c>
    </row>
    <row r="49" spans="1:10" ht="24" customHeight="1" x14ac:dyDescent="0.35">
      <c r="A49" s="3">
        <v>23</v>
      </c>
      <c r="B49" s="3" t="s">
        <v>53</v>
      </c>
      <c r="C49" s="4" t="s">
        <v>185</v>
      </c>
      <c r="D49" s="3">
        <v>0</v>
      </c>
      <c r="E49" s="7">
        <v>0</v>
      </c>
      <c r="F49" s="7">
        <v>0</v>
      </c>
      <c r="H49" s="22" t="s">
        <v>157</v>
      </c>
      <c r="I49" s="7">
        <v>1</v>
      </c>
      <c r="J49" s="23">
        <v>1</v>
      </c>
    </row>
    <row r="50" spans="1:10" ht="24" customHeight="1" x14ac:dyDescent="0.35">
      <c r="A50" s="47">
        <v>24</v>
      </c>
      <c r="B50" s="47" t="s">
        <v>54</v>
      </c>
      <c r="C50" s="3" t="s">
        <v>54</v>
      </c>
      <c r="D50" s="3">
        <v>4</v>
      </c>
      <c r="E50" s="7">
        <v>1</v>
      </c>
      <c r="F50" s="7">
        <v>3</v>
      </c>
      <c r="H50" s="22" t="s">
        <v>158</v>
      </c>
      <c r="I50" s="7">
        <v>1</v>
      </c>
      <c r="J50" s="23">
        <v>1</v>
      </c>
    </row>
    <row r="51" spans="1:10" ht="24" customHeight="1" x14ac:dyDescent="0.35">
      <c r="A51" s="47"/>
      <c r="B51" s="47"/>
      <c r="C51" s="3" t="s">
        <v>151</v>
      </c>
      <c r="D51" s="3">
        <v>1</v>
      </c>
      <c r="E51" s="7">
        <v>1</v>
      </c>
      <c r="F51" s="7">
        <v>0</v>
      </c>
      <c r="H51" s="22" t="s">
        <v>161</v>
      </c>
      <c r="I51" s="7">
        <v>1</v>
      </c>
      <c r="J51" s="23">
        <v>0</v>
      </c>
    </row>
    <row r="52" spans="1:10" ht="24" customHeight="1" x14ac:dyDescent="0.35">
      <c r="A52" s="47">
        <v>25</v>
      </c>
      <c r="B52" s="47" t="s">
        <v>55</v>
      </c>
      <c r="C52" s="3" t="s">
        <v>55</v>
      </c>
      <c r="D52" s="3">
        <v>2</v>
      </c>
      <c r="E52" s="7">
        <v>1</v>
      </c>
      <c r="F52" s="7">
        <v>1</v>
      </c>
      <c r="H52" s="25" t="s">
        <v>162</v>
      </c>
      <c r="I52" s="26">
        <v>0</v>
      </c>
      <c r="J52" s="27">
        <v>1</v>
      </c>
    </row>
    <row r="53" spans="1:10" ht="24" customHeight="1" x14ac:dyDescent="0.35">
      <c r="A53" s="47"/>
      <c r="B53" s="47"/>
      <c r="C53" s="3" t="s">
        <v>159</v>
      </c>
      <c r="D53" s="3">
        <v>2</v>
      </c>
      <c r="E53" s="7">
        <v>2</v>
      </c>
      <c r="F53" s="7">
        <v>0</v>
      </c>
    </row>
    <row r="54" spans="1:10" ht="24" customHeight="1" x14ac:dyDescent="0.35">
      <c r="A54" s="47"/>
      <c r="B54" s="47"/>
      <c r="C54" s="3" t="s">
        <v>157</v>
      </c>
      <c r="D54" s="3">
        <v>2</v>
      </c>
      <c r="E54" s="7">
        <v>1</v>
      </c>
      <c r="F54" s="7">
        <v>1</v>
      </c>
    </row>
    <row r="55" spans="1:10" ht="24" customHeight="1" x14ac:dyDescent="0.35">
      <c r="A55" s="47"/>
      <c r="B55" s="47"/>
      <c r="C55" s="3" t="s">
        <v>158</v>
      </c>
      <c r="D55" s="3">
        <v>2</v>
      </c>
      <c r="E55" s="7">
        <v>1</v>
      </c>
      <c r="F55" s="7">
        <v>1</v>
      </c>
    </row>
    <row r="56" spans="1:10" ht="24" customHeight="1" x14ac:dyDescent="0.35">
      <c r="A56" s="47">
        <v>26</v>
      </c>
      <c r="B56" s="48" t="s">
        <v>160</v>
      </c>
      <c r="C56" s="3" t="s">
        <v>161</v>
      </c>
      <c r="D56" s="3">
        <v>1</v>
      </c>
      <c r="E56" s="7">
        <v>1</v>
      </c>
      <c r="F56" s="7">
        <v>0</v>
      </c>
    </row>
    <row r="57" spans="1:10" ht="24" customHeight="1" x14ac:dyDescent="0.35">
      <c r="A57" s="47"/>
      <c r="B57" s="49"/>
      <c r="C57" s="3" t="s">
        <v>162</v>
      </c>
      <c r="D57" s="3">
        <v>1</v>
      </c>
      <c r="E57" s="7">
        <v>0</v>
      </c>
      <c r="F57" s="7">
        <v>1</v>
      </c>
    </row>
    <row r="58" spans="1:10" ht="24" customHeight="1" x14ac:dyDescent="0.35">
      <c r="A58" s="50" t="s">
        <v>56</v>
      </c>
      <c r="B58" s="50"/>
      <c r="C58" s="6"/>
      <c r="D58" s="6">
        <f>SUM(D3:D57)</f>
        <v>86</v>
      </c>
      <c r="E58" s="6">
        <f t="shared" ref="E58:F58" si="0">SUM(E3:E57)</f>
        <v>50</v>
      </c>
      <c r="F58" s="6">
        <f t="shared" si="0"/>
        <v>36</v>
      </c>
    </row>
  </sheetData>
  <mergeCells count="38">
    <mergeCell ref="B4:B5"/>
    <mergeCell ref="A4:A5"/>
    <mergeCell ref="B30:B31"/>
    <mergeCell ref="A30:A31"/>
    <mergeCell ref="B27:B29"/>
    <mergeCell ref="B7:B10"/>
    <mergeCell ref="A7:A10"/>
    <mergeCell ref="A58:B58"/>
    <mergeCell ref="B15:B16"/>
    <mergeCell ref="B23:B24"/>
    <mergeCell ref="A15:A16"/>
    <mergeCell ref="B11:B12"/>
    <mergeCell ref="A11:A12"/>
    <mergeCell ref="A43:A45"/>
    <mergeCell ref="B46:B48"/>
    <mergeCell ref="A46:A48"/>
    <mergeCell ref="A50:A51"/>
    <mergeCell ref="B43:B45"/>
    <mergeCell ref="B33:B37"/>
    <mergeCell ref="A33:A37"/>
    <mergeCell ref="B38:B40"/>
    <mergeCell ref="A27:A29"/>
    <mergeCell ref="A1:F1"/>
    <mergeCell ref="B25:B26"/>
    <mergeCell ref="A25:A26"/>
    <mergeCell ref="A23:A24"/>
    <mergeCell ref="B56:B57"/>
    <mergeCell ref="B19:B20"/>
    <mergeCell ref="A19:A20"/>
    <mergeCell ref="B17:B18"/>
    <mergeCell ref="A17:A18"/>
    <mergeCell ref="A56:A57"/>
    <mergeCell ref="A38:A40"/>
    <mergeCell ref="B41:B42"/>
    <mergeCell ref="A41:A42"/>
    <mergeCell ref="B52:B55"/>
    <mergeCell ref="A52:A55"/>
    <mergeCell ref="B50:B51"/>
  </mergeCells>
  <pageMargins left="0.70866141732283472" right="0.70866141732283472" top="0.54" bottom="0.5" header="0.31496062992125984" footer="0.31496062992125984"/>
  <pageSetup paperSize="9" scale="57" orientation="portrait" horizontalDpi="0" verticalDpi="0" r:id="rId2"/>
  <tableParts count="1">
    <tablePart r:id="rId3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N66"/>
  <sheetViews>
    <sheetView workbookViewId="0">
      <selection activeCell="B42" sqref="B42"/>
    </sheetView>
  </sheetViews>
  <sheetFormatPr defaultRowHeight="14.4" x14ac:dyDescent="0.3"/>
  <cols>
    <col min="1" max="1" width="5.88671875" bestFit="1" customWidth="1"/>
    <col min="2" max="2" width="21.5546875" bestFit="1" customWidth="1"/>
    <col min="3" max="3" width="19.88671875" customWidth="1"/>
    <col min="4" max="4" width="14.109375" customWidth="1"/>
    <col min="8" max="8" width="20.44140625" customWidth="1"/>
    <col min="9" max="9" width="9" customWidth="1"/>
    <col min="12" max="12" width="13.5546875" bestFit="1" customWidth="1"/>
    <col min="13" max="13" width="11.6640625" bestFit="1" customWidth="1"/>
  </cols>
  <sheetData>
    <row r="1" spans="1:14" ht="31.5" customHeight="1" x14ac:dyDescent="0.3">
      <c r="A1" s="38" t="s">
        <v>184</v>
      </c>
      <c r="B1" s="39"/>
      <c r="C1" s="39"/>
      <c r="D1" s="39"/>
      <c r="E1" s="39"/>
      <c r="F1" s="40"/>
    </row>
    <row r="2" spans="1:14" ht="31.5" customHeight="1" x14ac:dyDescent="0.3">
      <c r="A2" s="1" t="s">
        <v>0</v>
      </c>
      <c r="B2" s="14" t="s">
        <v>1</v>
      </c>
      <c r="C2" s="1" t="s">
        <v>78</v>
      </c>
      <c r="D2" s="1" t="s">
        <v>2</v>
      </c>
      <c r="E2" s="1" t="s">
        <v>186</v>
      </c>
      <c r="F2" s="1" t="s">
        <v>187</v>
      </c>
      <c r="H2" s="17" t="s">
        <v>78</v>
      </c>
      <c r="I2" s="13" t="s">
        <v>186</v>
      </c>
      <c r="J2" s="18" t="s">
        <v>187</v>
      </c>
      <c r="L2" t="s">
        <v>196</v>
      </c>
      <c r="M2" t="s">
        <v>197</v>
      </c>
    </row>
    <row r="3" spans="1:14" s="2" customFormat="1" ht="23.25" customHeight="1" x14ac:dyDescent="0.35">
      <c r="A3" s="52">
        <v>1</v>
      </c>
      <c r="B3" s="51" t="s">
        <v>3</v>
      </c>
      <c r="C3" s="4" t="s">
        <v>81</v>
      </c>
      <c r="D3" s="4">
        <v>6</v>
      </c>
      <c r="E3" s="1">
        <v>0</v>
      </c>
      <c r="F3" s="1">
        <v>6</v>
      </c>
      <c r="H3" s="28" t="s">
        <v>81</v>
      </c>
      <c r="I3" s="1">
        <v>0</v>
      </c>
      <c r="J3" s="10">
        <v>6</v>
      </c>
      <c r="L3">
        <v>51</v>
      </c>
      <c r="M3">
        <v>69</v>
      </c>
      <c r="N3"/>
    </row>
    <row r="4" spans="1:14" s="2" customFormat="1" ht="23.25" customHeight="1" x14ac:dyDescent="0.35">
      <c r="A4" s="52"/>
      <c r="B4" s="51"/>
      <c r="C4" s="3" t="s">
        <v>188</v>
      </c>
      <c r="D4" s="4">
        <v>3</v>
      </c>
      <c r="E4" s="1">
        <v>1</v>
      </c>
      <c r="F4" s="1">
        <v>2</v>
      </c>
      <c r="H4" s="22" t="s">
        <v>188</v>
      </c>
      <c r="I4" s="1">
        <v>1</v>
      </c>
      <c r="J4" s="10">
        <v>2</v>
      </c>
      <c r="L4"/>
      <c r="M4"/>
      <c r="N4"/>
    </row>
    <row r="5" spans="1:14" s="2" customFormat="1" ht="23.25" customHeight="1" x14ac:dyDescent="0.35">
      <c r="A5" s="52"/>
      <c r="B5" s="51"/>
      <c r="C5" s="4" t="s">
        <v>3</v>
      </c>
      <c r="D5" s="4">
        <v>1</v>
      </c>
      <c r="E5" s="1">
        <v>0</v>
      </c>
      <c r="F5" s="1">
        <v>1</v>
      </c>
      <c r="H5" s="28" t="s">
        <v>3</v>
      </c>
      <c r="I5" s="1">
        <v>0</v>
      </c>
      <c r="J5" s="10">
        <v>1</v>
      </c>
      <c r="L5" t="s">
        <v>187</v>
      </c>
      <c r="M5">
        <v>69</v>
      </c>
      <c r="N5"/>
    </row>
    <row r="6" spans="1:14" s="2" customFormat="1" ht="23.25" customHeight="1" x14ac:dyDescent="0.35">
      <c r="A6" s="4">
        <v>2</v>
      </c>
      <c r="B6" s="36" t="s">
        <v>4</v>
      </c>
      <c r="C6" s="4" t="s">
        <v>83</v>
      </c>
      <c r="D6" s="4">
        <v>1</v>
      </c>
      <c r="E6" s="1">
        <v>1</v>
      </c>
      <c r="F6" s="1">
        <v>0</v>
      </c>
      <c r="H6" s="28" t="s">
        <v>83</v>
      </c>
      <c r="I6" s="1">
        <v>1</v>
      </c>
      <c r="J6" s="10">
        <v>0</v>
      </c>
      <c r="L6" t="s">
        <v>186</v>
      </c>
      <c r="M6">
        <v>51</v>
      </c>
      <c r="N6"/>
    </row>
    <row r="7" spans="1:14" s="2" customFormat="1" ht="23.25" customHeight="1" x14ac:dyDescent="0.35">
      <c r="A7" s="52">
        <v>3</v>
      </c>
      <c r="B7" s="51" t="s">
        <v>5</v>
      </c>
      <c r="C7" s="4" t="s">
        <v>126</v>
      </c>
      <c r="D7" s="4">
        <v>1</v>
      </c>
      <c r="E7" s="1">
        <v>1</v>
      </c>
      <c r="F7" s="1">
        <v>0</v>
      </c>
      <c r="H7" s="28" t="s">
        <v>126</v>
      </c>
      <c r="I7" s="1">
        <v>1</v>
      </c>
      <c r="J7" s="10">
        <v>0</v>
      </c>
      <c r="L7"/>
      <c r="M7"/>
      <c r="N7"/>
    </row>
    <row r="8" spans="1:14" s="2" customFormat="1" ht="23.25" customHeight="1" x14ac:dyDescent="0.35">
      <c r="A8" s="52"/>
      <c r="B8" s="51"/>
      <c r="C8" s="4" t="s">
        <v>84</v>
      </c>
      <c r="D8" s="4">
        <v>3</v>
      </c>
      <c r="E8" s="1">
        <v>1</v>
      </c>
      <c r="F8" s="1">
        <v>2</v>
      </c>
      <c r="H8" s="28" t="s">
        <v>84</v>
      </c>
      <c r="I8" s="1">
        <v>1</v>
      </c>
      <c r="J8" s="10">
        <v>2</v>
      </c>
      <c r="L8"/>
      <c r="M8"/>
      <c r="N8"/>
    </row>
    <row r="9" spans="1:14" s="2" customFormat="1" ht="23.25" customHeight="1" x14ac:dyDescent="0.35">
      <c r="A9" s="52"/>
      <c r="B9" s="51"/>
      <c r="C9" s="4" t="s">
        <v>85</v>
      </c>
      <c r="D9" s="4">
        <v>1</v>
      </c>
      <c r="E9" s="1">
        <v>0</v>
      </c>
      <c r="F9" s="1">
        <v>1</v>
      </c>
      <c r="H9" s="28" t="s">
        <v>85</v>
      </c>
      <c r="I9" s="1">
        <v>0</v>
      </c>
      <c r="J9" s="10">
        <v>1</v>
      </c>
      <c r="L9"/>
      <c r="M9"/>
      <c r="N9"/>
    </row>
    <row r="10" spans="1:14" s="2" customFormat="1" ht="23.25" customHeight="1" x14ac:dyDescent="0.35">
      <c r="A10" s="52">
        <v>4</v>
      </c>
      <c r="B10" s="51" t="s">
        <v>6</v>
      </c>
      <c r="C10" s="4" t="s">
        <v>6</v>
      </c>
      <c r="D10" s="4">
        <v>5</v>
      </c>
      <c r="E10" s="1">
        <v>1</v>
      </c>
      <c r="F10" s="1">
        <v>4</v>
      </c>
      <c r="H10" s="28" t="s">
        <v>6</v>
      </c>
      <c r="I10" s="1">
        <v>1</v>
      </c>
      <c r="J10" s="10">
        <v>4</v>
      </c>
      <c r="L10"/>
      <c r="M10"/>
      <c r="N10"/>
    </row>
    <row r="11" spans="1:14" s="2" customFormat="1" ht="23.25" customHeight="1" x14ac:dyDescent="0.35">
      <c r="A11" s="52"/>
      <c r="B11" s="51"/>
      <c r="C11" s="4" t="s">
        <v>86</v>
      </c>
      <c r="D11" s="4">
        <v>5</v>
      </c>
      <c r="E11" s="1">
        <v>4</v>
      </c>
      <c r="F11" s="1">
        <v>1</v>
      </c>
      <c r="H11" s="28" t="s">
        <v>86</v>
      </c>
      <c r="I11" s="1">
        <v>4</v>
      </c>
      <c r="J11" s="10">
        <v>1</v>
      </c>
      <c r="L11"/>
      <c r="M11"/>
      <c r="N11"/>
    </row>
    <row r="12" spans="1:14" s="2" customFormat="1" ht="23.25" customHeight="1" x14ac:dyDescent="0.35">
      <c r="A12" s="52"/>
      <c r="B12" s="51"/>
      <c r="C12" s="4" t="s">
        <v>87</v>
      </c>
      <c r="D12" s="4">
        <v>1</v>
      </c>
      <c r="E12" s="1">
        <v>1</v>
      </c>
      <c r="F12" s="1">
        <v>0</v>
      </c>
      <c r="H12" s="28" t="s">
        <v>87</v>
      </c>
      <c r="I12" s="1">
        <v>1</v>
      </c>
      <c r="J12" s="10">
        <v>0</v>
      </c>
      <c r="L12"/>
      <c r="M12"/>
      <c r="N12"/>
    </row>
    <row r="13" spans="1:14" s="2" customFormat="1" ht="23.25" customHeight="1" x14ac:dyDescent="0.35">
      <c r="A13" s="52"/>
      <c r="B13" s="51"/>
      <c r="C13" s="3" t="s">
        <v>54</v>
      </c>
      <c r="D13" s="4">
        <v>1</v>
      </c>
      <c r="E13" s="1">
        <v>1</v>
      </c>
      <c r="F13" s="1">
        <v>0</v>
      </c>
      <c r="H13" s="22" t="s">
        <v>54</v>
      </c>
      <c r="I13" s="1">
        <v>1</v>
      </c>
      <c r="J13" s="10">
        <v>0</v>
      </c>
      <c r="L13"/>
      <c r="M13"/>
      <c r="N13"/>
    </row>
    <row r="14" spans="1:14" s="2" customFormat="1" ht="23.25" customHeight="1" x14ac:dyDescent="0.35">
      <c r="A14" s="4">
        <v>5</v>
      </c>
      <c r="B14" s="36" t="s">
        <v>7</v>
      </c>
      <c r="C14" s="4" t="s">
        <v>185</v>
      </c>
      <c r="D14" s="4">
        <v>0</v>
      </c>
      <c r="E14" s="1">
        <v>0</v>
      </c>
      <c r="F14" s="1">
        <v>0</v>
      </c>
      <c r="H14" s="28" t="s">
        <v>103</v>
      </c>
      <c r="I14" s="1">
        <v>2</v>
      </c>
      <c r="J14" s="10">
        <v>4</v>
      </c>
      <c r="L14"/>
      <c r="M14"/>
      <c r="N14"/>
    </row>
    <row r="15" spans="1:14" s="2" customFormat="1" ht="23.25" customHeight="1" x14ac:dyDescent="0.35">
      <c r="A15" s="4">
        <v>6</v>
      </c>
      <c r="B15" s="36" t="s">
        <v>8</v>
      </c>
      <c r="C15" s="4" t="s">
        <v>103</v>
      </c>
      <c r="D15" s="4">
        <v>6</v>
      </c>
      <c r="E15" s="1">
        <v>2</v>
      </c>
      <c r="F15" s="1">
        <v>4</v>
      </c>
      <c r="H15" s="22" t="s">
        <v>92</v>
      </c>
      <c r="I15" s="1">
        <v>0</v>
      </c>
      <c r="J15" s="10">
        <v>1</v>
      </c>
      <c r="L15"/>
      <c r="M15"/>
      <c r="N15"/>
    </row>
    <row r="16" spans="1:14" s="2" customFormat="1" ht="23.25" customHeight="1" x14ac:dyDescent="0.35">
      <c r="A16" s="52">
        <v>7</v>
      </c>
      <c r="B16" s="51" t="s">
        <v>9</v>
      </c>
      <c r="C16" s="3" t="s">
        <v>92</v>
      </c>
      <c r="D16" s="4">
        <v>1</v>
      </c>
      <c r="E16" s="1">
        <v>0</v>
      </c>
      <c r="F16" s="1">
        <v>1</v>
      </c>
      <c r="H16" s="28" t="s">
        <v>93</v>
      </c>
      <c r="I16" s="1">
        <v>2</v>
      </c>
      <c r="J16" s="10">
        <v>0</v>
      </c>
      <c r="L16"/>
      <c r="M16"/>
      <c r="N16"/>
    </row>
    <row r="17" spans="1:14" s="2" customFormat="1" ht="23.25" customHeight="1" x14ac:dyDescent="0.35">
      <c r="A17" s="52"/>
      <c r="B17" s="51"/>
      <c r="C17" s="4" t="s">
        <v>93</v>
      </c>
      <c r="D17" s="4">
        <v>2</v>
      </c>
      <c r="E17" s="1">
        <v>2</v>
      </c>
      <c r="F17" s="1">
        <v>0</v>
      </c>
      <c r="H17" s="22" t="s">
        <v>94</v>
      </c>
      <c r="I17" s="1">
        <v>0</v>
      </c>
      <c r="J17" s="10">
        <v>1</v>
      </c>
      <c r="L17"/>
      <c r="M17"/>
      <c r="N17"/>
    </row>
    <row r="18" spans="1:14" s="2" customFormat="1" ht="23.25" customHeight="1" x14ac:dyDescent="0.35">
      <c r="A18" s="52"/>
      <c r="B18" s="51"/>
      <c r="C18" s="3" t="s">
        <v>94</v>
      </c>
      <c r="D18" s="4">
        <v>1</v>
      </c>
      <c r="E18" s="1">
        <v>0</v>
      </c>
      <c r="F18" s="1">
        <v>1</v>
      </c>
      <c r="H18" s="28" t="s">
        <v>95</v>
      </c>
      <c r="I18" s="1">
        <v>1</v>
      </c>
      <c r="J18" s="10">
        <v>1</v>
      </c>
      <c r="L18"/>
      <c r="M18"/>
      <c r="N18"/>
    </row>
    <row r="19" spans="1:14" s="2" customFormat="1" ht="23.25" customHeight="1" x14ac:dyDescent="0.35">
      <c r="A19" s="52"/>
      <c r="B19" s="51"/>
      <c r="C19" s="4" t="s">
        <v>95</v>
      </c>
      <c r="D19" s="4">
        <v>2</v>
      </c>
      <c r="E19" s="1">
        <v>1</v>
      </c>
      <c r="F19" s="1">
        <v>1</v>
      </c>
      <c r="H19" s="22" t="s">
        <v>96</v>
      </c>
      <c r="I19" s="1">
        <v>0</v>
      </c>
      <c r="J19" s="10">
        <v>1</v>
      </c>
      <c r="L19"/>
      <c r="M19"/>
      <c r="N19"/>
    </row>
    <row r="20" spans="1:14" s="2" customFormat="1" ht="23.25" customHeight="1" x14ac:dyDescent="0.35">
      <c r="A20" s="52"/>
      <c r="B20" s="51"/>
      <c r="C20" s="3" t="s">
        <v>96</v>
      </c>
      <c r="D20" s="4">
        <v>1</v>
      </c>
      <c r="E20" s="1">
        <v>0</v>
      </c>
      <c r="F20" s="1">
        <v>1</v>
      </c>
      <c r="H20" s="22" t="s">
        <v>107</v>
      </c>
      <c r="I20" s="1">
        <v>0</v>
      </c>
      <c r="J20" s="10">
        <v>1</v>
      </c>
    </row>
    <row r="21" spans="1:14" s="2" customFormat="1" ht="23.25" customHeight="1" x14ac:dyDescent="0.35">
      <c r="A21" s="52">
        <v>8</v>
      </c>
      <c r="B21" s="51" t="s">
        <v>10</v>
      </c>
      <c r="C21" s="3" t="s">
        <v>107</v>
      </c>
      <c r="D21" s="4">
        <v>1</v>
      </c>
      <c r="E21" s="1">
        <v>0</v>
      </c>
      <c r="F21" s="1">
        <v>1</v>
      </c>
      <c r="H21" s="22" t="s">
        <v>104</v>
      </c>
      <c r="I21" s="1">
        <v>1</v>
      </c>
      <c r="J21" s="10">
        <v>4</v>
      </c>
    </row>
    <row r="22" spans="1:14" s="2" customFormat="1" ht="23.25" customHeight="1" x14ac:dyDescent="0.35">
      <c r="A22" s="52"/>
      <c r="B22" s="51"/>
      <c r="C22" s="3" t="s">
        <v>104</v>
      </c>
      <c r="D22" s="4">
        <v>5</v>
      </c>
      <c r="E22" s="1">
        <v>1</v>
      </c>
      <c r="F22" s="1">
        <v>4</v>
      </c>
      <c r="H22" s="22" t="s">
        <v>106</v>
      </c>
      <c r="I22" s="1">
        <v>1</v>
      </c>
      <c r="J22" s="10">
        <v>0</v>
      </c>
    </row>
    <row r="23" spans="1:14" s="2" customFormat="1" ht="23.25" customHeight="1" x14ac:dyDescent="0.35">
      <c r="A23" s="52"/>
      <c r="B23" s="51"/>
      <c r="C23" s="3" t="s">
        <v>106</v>
      </c>
      <c r="D23" s="4">
        <v>1</v>
      </c>
      <c r="E23" s="1">
        <v>1</v>
      </c>
      <c r="F23" s="1">
        <v>0</v>
      </c>
      <c r="H23" s="22" t="s">
        <v>105</v>
      </c>
      <c r="I23" s="1">
        <v>3</v>
      </c>
      <c r="J23" s="10">
        <v>1</v>
      </c>
    </row>
    <row r="24" spans="1:14" s="2" customFormat="1" ht="23.25" customHeight="1" x14ac:dyDescent="0.35">
      <c r="A24" s="52"/>
      <c r="B24" s="51"/>
      <c r="C24" s="3" t="s">
        <v>105</v>
      </c>
      <c r="D24" s="4">
        <v>4</v>
      </c>
      <c r="E24" s="1">
        <v>3</v>
      </c>
      <c r="F24" s="1">
        <v>1</v>
      </c>
      <c r="H24" s="28" t="s">
        <v>115</v>
      </c>
      <c r="I24" s="1">
        <v>3</v>
      </c>
      <c r="J24" s="10">
        <v>0</v>
      </c>
    </row>
    <row r="25" spans="1:14" s="2" customFormat="1" ht="23.25" customHeight="1" x14ac:dyDescent="0.35">
      <c r="A25" s="4">
        <v>9</v>
      </c>
      <c r="B25" s="36" t="s">
        <v>11</v>
      </c>
      <c r="C25" s="4" t="s">
        <v>185</v>
      </c>
      <c r="D25" s="4">
        <v>0</v>
      </c>
      <c r="E25" s="1">
        <v>0</v>
      </c>
      <c r="F25" s="1">
        <v>0</v>
      </c>
      <c r="H25" s="28" t="s">
        <v>116</v>
      </c>
      <c r="I25" s="1">
        <v>1</v>
      </c>
      <c r="J25" s="10">
        <v>1</v>
      </c>
    </row>
    <row r="26" spans="1:14" s="2" customFormat="1" ht="23.25" customHeight="1" x14ac:dyDescent="0.35">
      <c r="A26" s="4">
        <v>10</v>
      </c>
      <c r="B26" s="36" t="s">
        <v>12</v>
      </c>
      <c r="C26" s="4" t="s">
        <v>185</v>
      </c>
      <c r="D26" s="4">
        <v>0</v>
      </c>
      <c r="E26" s="1">
        <v>0</v>
      </c>
      <c r="F26" s="1">
        <v>0</v>
      </c>
      <c r="H26" s="28" t="s">
        <v>117</v>
      </c>
      <c r="I26" s="1">
        <v>2</v>
      </c>
      <c r="J26" s="10">
        <v>0</v>
      </c>
    </row>
    <row r="27" spans="1:14" s="2" customFormat="1" ht="23.25" customHeight="1" x14ac:dyDescent="0.35">
      <c r="A27" s="52">
        <v>11</v>
      </c>
      <c r="B27" s="51" t="s">
        <v>13</v>
      </c>
      <c r="C27" s="4" t="s">
        <v>115</v>
      </c>
      <c r="D27" s="4">
        <v>3</v>
      </c>
      <c r="E27" s="1">
        <v>3</v>
      </c>
      <c r="F27" s="1">
        <v>0</v>
      </c>
      <c r="H27" s="28" t="s">
        <v>13</v>
      </c>
      <c r="I27" s="1">
        <v>1</v>
      </c>
      <c r="J27" s="10">
        <v>0</v>
      </c>
    </row>
    <row r="28" spans="1:14" s="2" customFormat="1" ht="23.25" customHeight="1" x14ac:dyDescent="0.35">
      <c r="A28" s="52"/>
      <c r="B28" s="51"/>
      <c r="C28" s="4" t="s">
        <v>116</v>
      </c>
      <c r="D28" s="4">
        <v>2</v>
      </c>
      <c r="E28" s="1">
        <v>1</v>
      </c>
      <c r="F28" s="1">
        <v>1</v>
      </c>
      <c r="H28" s="28" t="s">
        <v>88</v>
      </c>
      <c r="I28" s="1">
        <v>1</v>
      </c>
      <c r="J28" s="10">
        <v>1</v>
      </c>
    </row>
    <row r="29" spans="1:14" s="2" customFormat="1" ht="23.25" customHeight="1" x14ac:dyDescent="0.35">
      <c r="A29" s="52"/>
      <c r="B29" s="51"/>
      <c r="C29" s="4" t="s">
        <v>117</v>
      </c>
      <c r="D29" s="4">
        <v>2</v>
      </c>
      <c r="E29" s="1">
        <v>2</v>
      </c>
      <c r="F29" s="1">
        <v>0</v>
      </c>
      <c r="H29" s="28" t="s">
        <v>89</v>
      </c>
      <c r="I29" s="1">
        <v>0</v>
      </c>
      <c r="J29" s="10">
        <v>2</v>
      </c>
    </row>
    <row r="30" spans="1:14" s="2" customFormat="1" ht="23.25" customHeight="1" x14ac:dyDescent="0.35">
      <c r="A30" s="52"/>
      <c r="B30" s="51"/>
      <c r="C30" s="4" t="s">
        <v>13</v>
      </c>
      <c r="D30" s="4">
        <v>1</v>
      </c>
      <c r="E30" s="1">
        <v>1</v>
      </c>
      <c r="F30" s="1">
        <v>0</v>
      </c>
      <c r="H30" s="28" t="s">
        <v>90</v>
      </c>
      <c r="I30" s="1">
        <v>0</v>
      </c>
      <c r="J30" s="10">
        <v>1</v>
      </c>
    </row>
    <row r="31" spans="1:14" s="2" customFormat="1" ht="23.25" customHeight="1" x14ac:dyDescent="0.35">
      <c r="A31" s="4">
        <v>12</v>
      </c>
      <c r="B31" s="36" t="s">
        <v>14</v>
      </c>
      <c r="C31" s="4" t="s">
        <v>185</v>
      </c>
      <c r="D31" s="4">
        <v>0</v>
      </c>
      <c r="E31" s="1">
        <v>0</v>
      </c>
      <c r="F31" s="1">
        <v>0</v>
      </c>
      <c r="H31" s="28" t="s">
        <v>108</v>
      </c>
      <c r="I31" s="1">
        <v>2</v>
      </c>
      <c r="J31" s="10">
        <v>3</v>
      </c>
    </row>
    <row r="32" spans="1:14" s="2" customFormat="1" ht="23.25" customHeight="1" x14ac:dyDescent="0.35">
      <c r="A32" s="52">
        <v>13</v>
      </c>
      <c r="B32" s="47" t="s">
        <v>15</v>
      </c>
      <c r="C32" s="4" t="s">
        <v>88</v>
      </c>
      <c r="D32" s="4">
        <v>2</v>
      </c>
      <c r="E32" s="1">
        <v>1</v>
      </c>
      <c r="F32" s="1">
        <v>1</v>
      </c>
      <c r="H32" s="28" t="s">
        <v>118</v>
      </c>
      <c r="I32" s="1">
        <v>2</v>
      </c>
      <c r="J32" s="10">
        <v>1</v>
      </c>
    </row>
    <row r="33" spans="1:10" s="2" customFormat="1" ht="23.25" customHeight="1" x14ac:dyDescent="0.35">
      <c r="A33" s="52"/>
      <c r="B33" s="47"/>
      <c r="C33" s="4" t="s">
        <v>89</v>
      </c>
      <c r="D33" s="4">
        <v>2</v>
      </c>
      <c r="E33" s="1">
        <v>0</v>
      </c>
      <c r="F33" s="1">
        <v>2</v>
      </c>
      <c r="H33" s="28" t="s">
        <v>119</v>
      </c>
      <c r="I33" s="1">
        <v>1</v>
      </c>
      <c r="J33" s="10">
        <v>1</v>
      </c>
    </row>
    <row r="34" spans="1:10" s="2" customFormat="1" ht="23.25" customHeight="1" x14ac:dyDescent="0.35">
      <c r="A34" s="52"/>
      <c r="B34" s="47"/>
      <c r="C34" s="4" t="s">
        <v>90</v>
      </c>
      <c r="D34" s="4">
        <v>1</v>
      </c>
      <c r="E34" s="1">
        <v>0</v>
      </c>
      <c r="F34" s="1">
        <v>1</v>
      </c>
      <c r="H34" s="28" t="s">
        <v>109</v>
      </c>
      <c r="I34" s="1">
        <v>1</v>
      </c>
      <c r="J34" s="10">
        <v>0</v>
      </c>
    </row>
    <row r="35" spans="1:10" s="2" customFormat="1" ht="23.25" customHeight="1" x14ac:dyDescent="0.35">
      <c r="A35" s="52">
        <v>14</v>
      </c>
      <c r="B35" s="36" t="s">
        <v>16</v>
      </c>
      <c r="C35" s="4" t="s">
        <v>108</v>
      </c>
      <c r="D35" s="4">
        <v>5</v>
      </c>
      <c r="E35" s="1">
        <v>2</v>
      </c>
      <c r="F35" s="1">
        <v>3</v>
      </c>
      <c r="H35" s="28" t="s">
        <v>120</v>
      </c>
      <c r="I35" s="1">
        <v>0</v>
      </c>
      <c r="J35" s="10">
        <v>2</v>
      </c>
    </row>
    <row r="36" spans="1:10" s="2" customFormat="1" ht="23.25" customHeight="1" x14ac:dyDescent="0.35">
      <c r="A36" s="52"/>
      <c r="B36" s="3"/>
      <c r="C36" s="4" t="s">
        <v>118</v>
      </c>
      <c r="D36" s="4">
        <v>3</v>
      </c>
      <c r="E36" s="1">
        <v>2</v>
      </c>
      <c r="F36" s="1">
        <v>1</v>
      </c>
      <c r="H36" s="28" t="s">
        <v>121</v>
      </c>
      <c r="I36" s="1">
        <v>0</v>
      </c>
      <c r="J36" s="10">
        <v>2</v>
      </c>
    </row>
    <row r="37" spans="1:10" s="2" customFormat="1" ht="23.25" customHeight="1" x14ac:dyDescent="0.35">
      <c r="A37" s="52"/>
      <c r="B37" s="3"/>
      <c r="C37" s="4" t="s">
        <v>119</v>
      </c>
      <c r="D37" s="4">
        <v>2</v>
      </c>
      <c r="E37" s="1">
        <v>1</v>
      </c>
      <c r="F37" s="1">
        <v>1</v>
      </c>
      <c r="H37" s="22" t="s">
        <v>122</v>
      </c>
      <c r="I37" s="1">
        <v>0</v>
      </c>
      <c r="J37" s="10">
        <v>1</v>
      </c>
    </row>
    <row r="38" spans="1:10" s="2" customFormat="1" ht="23.25" customHeight="1" x14ac:dyDescent="0.35">
      <c r="A38" s="4">
        <v>15</v>
      </c>
      <c r="B38" s="3" t="s">
        <v>17</v>
      </c>
      <c r="C38" s="4" t="s">
        <v>109</v>
      </c>
      <c r="D38" s="4">
        <v>1</v>
      </c>
      <c r="E38" s="1">
        <v>1</v>
      </c>
      <c r="F38" s="1">
        <v>0</v>
      </c>
      <c r="H38" s="28" t="s">
        <v>123</v>
      </c>
      <c r="I38" s="1">
        <v>0</v>
      </c>
      <c r="J38" s="10">
        <v>1</v>
      </c>
    </row>
    <row r="39" spans="1:10" s="2" customFormat="1" ht="23.25" customHeight="1" x14ac:dyDescent="0.35">
      <c r="A39" s="52">
        <v>16</v>
      </c>
      <c r="B39" s="51" t="s">
        <v>18</v>
      </c>
      <c r="C39" s="4" t="s">
        <v>120</v>
      </c>
      <c r="D39" s="4">
        <v>2</v>
      </c>
      <c r="E39" s="1">
        <v>0</v>
      </c>
      <c r="F39" s="1">
        <v>2</v>
      </c>
      <c r="H39" s="28" t="s">
        <v>124</v>
      </c>
      <c r="I39" s="1">
        <v>0</v>
      </c>
      <c r="J39" s="10">
        <v>3</v>
      </c>
    </row>
    <row r="40" spans="1:10" s="2" customFormat="1" ht="23.25" customHeight="1" x14ac:dyDescent="0.35">
      <c r="A40" s="52"/>
      <c r="B40" s="51"/>
      <c r="C40" s="4" t="s">
        <v>121</v>
      </c>
      <c r="D40" s="4">
        <v>2</v>
      </c>
      <c r="E40" s="1">
        <v>0</v>
      </c>
      <c r="F40" s="1">
        <v>2</v>
      </c>
      <c r="H40" s="28" t="s">
        <v>125</v>
      </c>
      <c r="I40" s="1">
        <v>1</v>
      </c>
      <c r="J40" s="10">
        <v>1</v>
      </c>
    </row>
    <row r="41" spans="1:10" s="2" customFormat="1" ht="23.25" customHeight="1" x14ac:dyDescent="0.35">
      <c r="A41" s="52"/>
      <c r="B41" s="51"/>
      <c r="C41" s="3" t="s">
        <v>122</v>
      </c>
      <c r="D41" s="4">
        <v>1</v>
      </c>
      <c r="E41" s="1">
        <v>0</v>
      </c>
      <c r="F41" s="1">
        <v>1</v>
      </c>
      <c r="H41" s="28" t="s">
        <v>110</v>
      </c>
      <c r="I41" s="1">
        <v>1</v>
      </c>
      <c r="J41" s="10">
        <v>1</v>
      </c>
    </row>
    <row r="42" spans="1:10" s="2" customFormat="1" ht="23.25" customHeight="1" x14ac:dyDescent="0.35">
      <c r="A42" s="4">
        <v>17</v>
      </c>
      <c r="B42" s="36" t="s">
        <v>19</v>
      </c>
      <c r="C42" s="4" t="s">
        <v>185</v>
      </c>
      <c r="D42" s="4">
        <v>0</v>
      </c>
      <c r="E42" s="1">
        <v>0</v>
      </c>
      <c r="F42" s="1">
        <v>0</v>
      </c>
      <c r="H42" s="28" t="s">
        <v>111</v>
      </c>
      <c r="I42" s="1">
        <v>1</v>
      </c>
      <c r="J42" s="10">
        <v>1</v>
      </c>
    </row>
    <row r="43" spans="1:10" s="2" customFormat="1" ht="23.25" customHeight="1" x14ac:dyDescent="0.35">
      <c r="A43" s="4">
        <v>18</v>
      </c>
      <c r="B43" s="36" t="s">
        <v>20</v>
      </c>
      <c r="C43" s="4" t="s">
        <v>185</v>
      </c>
      <c r="D43" s="4">
        <v>0</v>
      </c>
      <c r="E43" s="1">
        <v>0</v>
      </c>
      <c r="F43" s="1">
        <v>0</v>
      </c>
      <c r="H43" s="28" t="s">
        <v>112</v>
      </c>
      <c r="I43" s="1">
        <v>1</v>
      </c>
      <c r="J43" s="10">
        <v>1</v>
      </c>
    </row>
    <row r="44" spans="1:10" s="2" customFormat="1" ht="23.25" customHeight="1" x14ac:dyDescent="0.35">
      <c r="A44" s="52">
        <v>19</v>
      </c>
      <c r="B44" s="51" t="s">
        <v>21</v>
      </c>
      <c r="C44" s="4" t="s">
        <v>123</v>
      </c>
      <c r="D44" s="4">
        <v>1</v>
      </c>
      <c r="E44" s="1">
        <v>0</v>
      </c>
      <c r="F44" s="1">
        <v>1</v>
      </c>
      <c r="H44" s="22" t="s">
        <v>114</v>
      </c>
      <c r="I44" s="1">
        <v>1</v>
      </c>
      <c r="J44" s="10">
        <v>0</v>
      </c>
    </row>
    <row r="45" spans="1:10" s="2" customFormat="1" ht="23.25" customHeight="1" x14ac:dyDescent="0.35">
      <c r="A45" s="52"/>
      <c r="B45" s="51"/>
      <c r="C45" s="4" t="s">
        <v>124</v>
      </c>
      <c r="D45" s="4">
        <v>3</v>
      </c>
      <c r="E45" s="1">
        <v>0</v>
      </c>
      <c r="F45" s="1">
        <v>3</v>
      </c>
      <c r="H45" s="22" t="s">
        <v>113</v>
      </c>
      <c r="I45" s="1">
        <v>1</v>
      </c>
      <c r="J45" s="10">
        <v>2</v>
      </c>
    </row>
    <row r="46" spans="1:10" s="2" customFormat="1" ht="23.25" customHeight="1" x14ac:dyDescent="0.35">
      <c r="A46" s="52"/>
      <c r="B46" s="51"/>
      <c r="C46" s="4" t="s">
        <v>125</v>
      </c>
      <c r="D46" s="4">
        <v>2</v>
      </c>
      <c r="E46" s="1">
        <v>1</v>
      </c>
      <c r="F46" s="1">
        <v>1</v>
      </c>
      <c r="H46" s="28" t="s">
        <v>97</v>
      </c>
      <c r="I46" s="1">
        <v>0</v>
      </c>
      <c r="J46" s="10">
        <v>1</v>
      </c>
    </row>
    <row r="47" spans="1:10" s="2" customFormat="1" ht="23.25" customHeight="1" x14ac:dyDescent="0.35">
      <c r="A47" s="4">
        <v>20</v>
      </c>
      <c r="B47" s="36" t="s">
        <v>22</v>
      </c>
      <c r="C47" s="4" t="s">
        <v>185</v>
      </c>
      <c r="D47" s="4">
        <v>0</v>
      </c>
      <c r="E47" s="1">
        <v>0</v>
      </c>
      <c r="F47" s="1">
        <v>0</v>
      </c>
      <c r="H47" s="28" t="s">
        <v>98</v>
      </c>
      <c r="I47" s="1">
        <v>3</v>
      </c>
      <c r="J47" s="10">
        <v>2</v>
      </c>
    </row>
    <row r="48" spans="1:10" s="2" customFormat="1" ht="23.25" customHeight="1" x14ac:dyDescent="0.35">
      <c r="A48" s="52">
        <v>21</v>
      </c>
      <c r="B48" s="51" t="s">
        <v>23</v>
      </c>
      <c r="C48" s="4" t="s">
        <v>110</v>
      </c>
      <c r="D48" s="4">
        <v>2</v>
      </c>
      <c r="E48" s="1">
        <v>1</v>
      </c>
      <c r="F48" s="1">
        <v>1</v>
      </c>
      <c r="H48" s="28" t="s">
        <v>99</v>
      </c>
      <c r="I48" s="1">
        <v>1</v>
      </c>
      <c r="J48" s="10">
        <v>0</v>
      </c>
    </row>
    <row r="49" spans="1:10" s="2" customFormat="1" ht="23.25" customHeight="1" x14ac:dyDescent="0.35">
      <c r="A49" s="52"/>
      <c r="B49" s="51"/>
      <c r="C49" s="4" t="s">
        <v>111</v>
      </c>
      <c r="D49" s="4">
        <v>2</v>
      </c>
      <c r="E49" s="1">
        <v>1</v>
      </c>
      <c r="F49" s="1">
        <v>1</v>
      </c>
      <c r="H49" s="28" t="s">
        <v>27</v>
      </c>
      <c r="I49" s="1">
        <v>1</v>
      </c>
      <c r="J49" s="10">
        <v>2</v>
      </c>
    </row>
    <row r="50" spans="1:10" s="2" customFormat="1" ht="23.25" customHeight="1" x14ac:dyDescent="0.35">
      <c r="A50" s="52"/>
      <c r="B50" s="51"/>
      <c r="C50" s="4" t="s">
        <v>112</v>
      </c>
      <c r="D50" s="4">
        <v>2</v>
      </c>
      <c r="E50" s="1">
        <v>1</v>
      </c>
      <c r="F50" s="1">
        <v>1</v>
      </c>
      <c r="H50" s="28" t="s">
        <v>100</v>
      </c>
      <c r="I50" s="1">
        <v>0</v>
      </c>
      <c r="J50" s="10">
        <v>1</v>
      </c>
    </row>
    <row r="51" spans="1:10" s="2" customFormat="1" ht="23.25" customHeight="1" x14ac:dyDescent="0.35">
      <c r="A51" s="4">
        <v>22</v>
      </c>
      <c r="B51" s="36" t="s">
        <v>24</v>
      </c>
      <c r="C51" s="3" t="s">
        <v>114</v>
      </c>
      <c r="D51" s="4">
        <v>1</v>
      </c>
      <c r="E51" s="1">
        <v>1</v>
      </c>
      <c r="F51" s="1">
        <v>0</v>
      </c>
      <c r="H51" s="28" t="s">
        <v>101</v>
      </c>
      <c r="I51" s="1">
        <v>3</v>
      </c>
      <c r="J51" s="10">
        <v>0</v>
      </c>
    </row>
    <row r="52" spans="1:10" s="2" customFormat="1" ht="23.25" customHeight="1" x14ac:dyDescent="0.35">
      <c r="A52" s="4">
        <v>23</v>
      </c>
      <c r="B52" s="36" t="s">
        <v>25</v>
      </c>
      <c r="C52" s="3" t="s">
        <v>113</v>
      </c>
      <c r="D52" s="4">
        <v>3</v>
      </c>
      <c r="E52" s="1">
        <v>1</v>
      </c>
      <c r="F52" s="1">
        <v>2</v>
      </c>
      <c r="H52" s="28" t="s">
        <v>102</v>
      </c>
      <c r="I52" s="1">
        <v>1</v>
      </c>
      <c r="J52" s="10">
        <v>1</v>
      </c>
    </row>
    <row r="53" spans="1:10" s="2" customFormat="1" ht="23.25" customHeight="1" x14ac:dyDescent="0.35">
      <c r="A53" s="4">
        <v>24</v>
      </c>
      <c r="B53" s="3" t="s">
        <v>26</v>
      </c>
      <c r="C53" s="4" t="s">
        <v>185</v>
      </c>
      <c r="D53" s="4">
        <v>0</v>
      </c>
      <c r="E53" s="1">
        <v>0</v>
      </c>
      <c r="F53" s="1">
        <v>0</v>
      </c>
      <c r="H53" s="28" t="s">
        <v>79</v>
      </c>
      <c r="I53" s="1">
        <v>1</v>
      </c>
      <c r="J53" s="10">
        <v>1</v>
      </c>
    </row>
    <row r="54" spans="1:10" s="2" customFormat="1" ht="23.25" customHeight="1" x14ac:dyDescent="0.35">
      <c r="A54" s="52">
        <v>25</v>
      </c>
      <c r="B54" s="51" t="s">
        <v>27</v>
      </c>
      <c r="C54" s="4" t="s">
        <v>97</v>
      </c>
      <c r="D54" s="4">
        <v>1</v>
      </c>
      <c r="E54" s="1">
        <v>0</v>
      </c>
      <c r="F54" s="1">
        <v>1</v>
      </c>
      <c r="H54" s="28" t="s">
        <v>80</v>
      </c>
      <c r="I54" s="1">
        <v>0</v>
      </c>
      <c r="J54" s="10">
        <v>2</v>
      </c>
    </row>
    <row r="55" spans="1:10" s="2" customFormat="1" ht="23.25" customHeight="1" x14ac:dyDescent="0.35">
      <c r="A55" s="52"/>
      <c r="B55" s="51"/>
      <c r="C55" s="4" t="s">
        <v>98</v>
      </c>
      <c r="D55" s="4">
        <v>5</v>
      </c>
      <c r="E55" s="1">
        <v>3</v>
      </c>
      <c r="F55" s="1">
        <v>2</v>
      </c>
      <c r="H55" s="28" t="s">
        <v>91</v>
      </c>
      <c r="I55" s="1">
        <v>0</v>
      </c>
      <c r="J55" s="10">
        <v>1</v>
      </c>
    </row>
    <row r="56" spans="1:10" s="2" customFormat="1" ht="23.25" customHeight="1" x14ac:dyDescent="0.35">
      <c r="A56" s="52"/>
      <c r="B56" s="51"/>
      <c r="C56" s="4" t="s">
        <v>99</v>
      </c>
      <c r="D56" s="4">
        <v>1</v>
      </c>
      <c r="E56" s="1">
        <v>1</v>
      </c>
      <c r="F56" s="1">
        <v>0</v>
      </c>
      <c r="H56" s="28" t="s">
        <v>30</v>
      </c>
      <c r="I56" s="1">
        <v>0</v>
      </c>
      <c r="J56" s="10">
        <v>1</v>
      </c>
    </row>
    <row r="57" spans="1:10" s="2" customFormat="1" ht="23.25" customHeight="1" x14ac:dyDescent="0.35">
      <c r="A57" s="52"/>
      <c r="B57" s="51"/>
      <c r="C57" s="4" t="s">
        <v>27</v>
      </c>
      <c r="D57" s="4">
        <v>3</v>
      </c>
      <c r="E57" s="1">
        <v>1</v>
      </c>
      <c r="F57" s="1">
        <v>2</v>
      </c>
      <c r="H57" s="25" t="s">
        <v>94</v>
      </c>
      <c r="I57" s="12">
        <v>0</v>
      </c>
      <c r="J57" s="29">
        <v>1</v>
      </c>
    </row>
    <row r="58" spans="1:10" s="2" customFormat="1" ht="23.25" customHeight="1" x14ac:dyDescent="0.35">
      <c r="A58" s="52">
        <v>26</v>
      </c>
      <c r="B58" s="51" t="s">
        <v>28</v>
      </c>
      <c r="C58" s="4" t="s">
        <v>100</v>
      </c>
      <c r="D58" s="4">
        <v>1</v>
      </c>
      <c r="E58" s="1">
        <v>0</v>
      </c>
      <c r="F58" s="1">
        <v>1</v>
      </c>
    </row>
    <row r="59" spans="1:10" s="2" customFormat="1" ht="23.25" customHeight="1" x14ac:dyDescent="0.35">
      <c r="A59" s="52"/>
      <c r="B59" s="51"/>
      <c r="C59" s="4" t="s">
        <v>101</v>
      </c>
      <c r="D59" s="4">
        <v>3</v>
      </c>
      <c r="E59" s="1">
        <v>3</v>
      </c>
      <c r="F59" s="1">
        <v>0</v>
      </c>
      <c r="H59"/>
      <c r="I59"/>
      <c r="J59"/>
    </row>
    <row r="60" spans="1:10" s="2" customFormat="1" ht="23.25" customHeight="1" x14ac:dyDescent="0.35">
      <c r="A60" s="52"/>
      <c r="B60" s="51"/>
      <c r="C60" s="4" t="s">
        <v>102</v>
      </c>
      <c r="D60" s="4">
        <v>2</v>
      </c>
      <c r="E60" s="1">
        <v>1</v>
      </c>
      <c r="F60" s="1">
        <v>1</v>
      </c>
      <c r="H60"/>
      <c r="I60"/>
      <c r="J60"/>
    </row>
    <row r="61" spans="1:10" s="2" customFormat="1" ht="23.25" customHeight="1" x14ac:dyDescent="0.35">
      <c r="A61" s="52">
        <v>27</v>
      </c>
      <c r="B61" s="51" t="s">
        <v>29</v>
      </c>
      <c r="C61" s="4" t="s">
        <v>79</v>
      </c>
      <c r="D61" s="4">
        <v>2</v>
      </c>
      <c r="E61" s="1">
        <v>1</v>
      </c>
      <c r="F61" s="1">
        <v>1</v>
      </c>
      <c r="H61"/>
      <c r="I61"/>
      <c r="J61"/>
    </row>
    <row r="62" spans="1:10" s="2" customFormat="1" ht="23.25" customHeight="1" x14ac:dyDescent="0.35">
      <c r="A62" s="52"/>
      <c r="B62" s="51"/>
      <c r="C62" s="4" t="s">
        <v>80</v>
      </c>
      <c r="D62" s="4">
        <v>2</v>
      </c>
      <c r="E62" s="1">
        <v>0</v>
      </c>
      <c r="F62" s="1">
        <v>2</v>
      </c>
      <c r="H62"/>
      <c r="I62"/>
      <c r="J62"/>
    </row>
    <row r="63" spans="1:10" s="2" customFormat="1" ht="23.25" customHeight="1" x14ac:dyDescent="0.35">
      <c r="A63" s="52"/>
      <c r="B63" s="51"/>
      <c r="C63" s="4" t="s">
        <v>91</v>
      </c>
      <c r="D63" s="4">
        <v>1</v>
      </c>
      <c r="E63" s="1">
        <v>0</v>
      </c>
      <c r="F63" s="1">
        <v>1</v>
      </c>
      <c r="H63"/>
      <c r="I63"/>
      <c r="J63"/>
    </row>
    <row r="64" spans="1:10" s="2" customFormat="1" ht="23.25" customHeight="1" x14ac:dyDescent="0.35">
      <c r="A64" s="52">
        <v>28</v>
      </c>
      <c r="B64" s="51" t="s">
        <v>30</v>
      </c>
      <c r="C64" s="4" t="s">
        <v>30</v>
      </c>
      <c r="D64" s="4">
        <v>1</v>
      </c>
      <c r="E64" s="1">
        <v>0</v>
      </c>
      <c r="F64" s="1">
        <v>1</v>
      </c>
      <c r="H64"/>
      <c r="I64"/>
      <c r="J64"/>
    </row>
    <row r="65" spans="1:10" s="2" customFormat="1" ht="23.25" customHeight="1" x14ac:dyDescent="0.35">
      <c r="A65" s="52"/>
      <c r="B65" s="51"/>
      <c r="C65" s="3" t="s">
        <v>94</v>
      </c>
      <c r="D65" s="4">
        <v>1</v>
      </c>
      <c r="E65" s="1">
        <v>0</v>
      </c>
      <c r="F65" s="1">
        <v>1</v>
      </c>
      <c r="H65"/>
      <c r="I65"/>
      <c r="J65"/>
    </row>
    <row r="66" spans="1:10" s="2" customFormat="1" ht="23.25" customHeight="1" x14ac:dyDescent="0.35">
      <c r="A66" s="52" t="s">
        <v>76</v>
      </c>
      <c r="B66" s="52"/>
      <c r="C66" s="4"/>
      <c r="D66" s="4">
        <f>SUM(D3:D65)</f>
        <v>120</v>
      </c>
      <c r="E66" s="4">
        <f t="shared" ref="E66:F66" si="0">SUM(E3:E65)</f>
        <v>51</v>
      </c>
      <c r="F66" s="4">
        <f t="shared" si="0"/>
        <v>69</v>
      </c>
      <c r="H66"/>
      <c r="I66"/>
      <c r="J66"/>
    </row>
  </sheetData>
  <mergeCells count="31">
    <mergeCell ref="A66:B66"/>
    <mergeCell ref="B3:B5"/>
    <mergeCell ref="A3:A5"/>
    <mergeCell ref="B7:B9"/>
    <mergeCell ref="B10:B13"/>
    <mergeCell ref="A10:A13"/>
    <mergeCell ref="A7:A9"/>
    <mergeCell ref="B32:B34"/>
    <mergeCell ref="A32:A34"/>
    <mergeCell ref="B61:B63"/>
    <mergeCell ref="A16:A20"/>
    <mergeCell ref="A61:A63"/>
    <mergeCell ref="B16:B20"/>
    <mergeCell ref="B64:B65"/>
    <mergeCell ref="A64:A65"/>
    <mergeCell ref="A1:F1"/>
    <mergeCell ref="B54:B57"/>
    <mergeCell ref="A54:A57"/>
    <mergeCell ref="B58:B60"/>
    <mergeCell ref="A58:A60"/>
    <mergeCell ref="B21:B24"/>
    <mergeCell ref="B48:B50"/>
    <mergeCell ref="A48:A50"/>
    <mergeCell ref="B27:B30"/>
    <mergeCell ref="A27:A30"/>
    <mergeCell ref="B39:B41"/>
    <mergeCell ref="A39:A41"/>
    <mergeCell ref="B44:B46"/>
    <mergeCell ref="A44:A46"/>
    <mergeCell ref="A21:A24"/>
    <mergeCell ref="A35:A37"/>
  </mergeCells>
  <pageMargins left="0.70866141732283472" right="0.70866141732283472" top="0.46" bottom="0.46" header="0.31496062992125984" footer="0.31496062992125984"/>
  <pageSetup paperSize="9" scale="52" orientation="portrait" horizontalDpi="0" verticalDpi="0" r:id="rId2"/>
  <tableParts count="1">
    <tablePart r:id="rId3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DFB796-152A-425D-AC7B-5B624EE04F03}">
  <dimension ref="A1:F132"/>
  <sheetViews>
    <sheetView workbookViewId="0">
      <selection activeCell="E18" sqref="E18"/>
    </sheetView>
  </sheetViews>
  <sheetFormatPr defaultRowHeight="14.4" x14ac:dyDescent="0.3"/>
  <cols>
    <col min="1" max="1" width="20.44140625" customWidth="1"/>
    <col min="2" max="2" width="13.21875" customWidth="1"/>
    <col min="3" max="3" width="12.6640625" customWidth="1"/>
    <col min="5" max="5" width="13.5546875" bestFit="1" customWidth="1"/>
    <col min="6" max="6" width="11.6640625" bestFit="1" customWidth="1"/>
  </cols>
  <sheetData>
    <row r="1" spans="1:6" ht="15.6" x14ac:dyDescent="0.3">
      <c r="A1" s="17" t="s">
        <v>78</v>
      </c>
      <c r="B1" s="13" t="s">
        <v>186</v>
      </c>
      <c r="C1" s="18" t="s">
        <v>187</v>
      </c>
    </row>
    <row r="2" spans="1:6" ht="15.6" x14ac:dyDescent="0.3">
      <c r="A2" s="11" t="s">
        <v>165</v>
      </c>
      <c r="B2" s="5">
        <v>1</v>
      </c>
      <c r="C2" s="16">
        <v>4</v>
      </c>
      <c r="E2" t="s">
        <v>196</v>
      </c>
      <c r="F2" t="s">
        <v>197</v>
      </c>
    </row>
    <row r="3" spans="1:6" ht="15.6" x14ac:dyDescent="0.3">
      <c r="A3" s="11" t="s">
        <v>174</v>
      </c>
      <c r="B3" s="5">
        <v>1</v>
      </c>
      <c r="C3" s="16">
        <v>0</v>
      </c>
      <c r="E3">
        <v>123</v>
      </c>
      <c r="F3">
        <v>134</v>
      </c>
    </row>
    <row r="4" spans="1:6" ht="15.6" x14ac:dyDescent="0.3">
      <c r="A4" s="11" t="s">
        <v>170</v>
      </c>
      <c r="B4" s="5">
        <v>0</v>
      </c>
      <c r="C4" s="16">
        <v>2</v>
      </c>
    </row>
    <row r="5" spans="1:6" ht="15.6" x14ac:dyDescent="0.3">
      <c r="A5" s="11" t="s">
        <v>171</v>
      </c>
      <c r="B5" s="5">
        <v>1</v>
      </c>
      <c r="C5" s="16">
        <v>0</v>
      </c>
    </row>
    <row r="6" spans="1:6" ht="15.6" x14ac:dyDescent="0.3">
      <c r="A6" s="11" t="s">
        <v>172</v>
      </c>
      <c r="B6" s="5">
        <v>0</v>
      </c>
      <c r="C6" s="16">
        <v>2</v>
      </c>
      <c r="E6" t="s">
        <v>187</v>
      </c>
      <c r="F6">
        <v>134</v>
      </c>
    </row>
    <row r="7" spans="1:6" ht="15.6" x14ac:dyDescent="0.3">
      <c r="A7" s="11" t="s">
        <v>173</v>
      </c>
      <c r="B7" s="5">
        <v>1</v>
      </c>
      <c r="C7" s="16">
        <v>0</v>
      </c>
      <c r="E7" t="s">
        <v>186</v>
      </c>
      <c r="F7">
        <v>123</v>
      </c>
    </row>
    <row r="8" spans="1:6" ht="15.6" x14ac:dyDescent="0.3">
      <c r="A8" s="11" t="s">
        <v>167</v>
      </c>
      <c r="B8" s="5">
        <v>0</v>
      </c>
      <c r="C8" s="16">
        <v>1</v>
      </c>
    </row>
    <row r="9" spans="1:6" ht="15.6" x14ac:dyDescent="0.3">
      <c r="A9" s="11" t="s">
        <v>168</v>
      </c>
      <c r="B9" s="5">
        <v>0</v>
      </c>
      <c r="C9" s="16">
        <v>1</v>
      </c>
    </row>
    <row r="10" spans="1:6" ht="15.6" x14ac:dyDescent="0.3">
      <c r="A10" s="11" t="s">
        <v>192</v>
      </c>
      <c r="B10" s="5">
        <v>0</v>
      </c>
      <c r="C10" s="16">
        <v>1</v>
      </c>
    </row>
    <row r="11" spans="1:6" ht="15.6" x14ac:dyDescent="0.3">
      <c r="A11" s="11" t="s">
        <v>166</v>
      </c>
      <c r="B11" s="5">
        <v>3</v>
      </c>
      <c r="C11" s="16">
        <v>1</v>
      </c>
    </row>
    <row r="12" spans="1:6" ht="15.6" x14ac:dyDescent="0.3">
      <c r="A12" s="11" t="s">
        <v>193</v>
      </c>
      <c r="B12" s="5">
        <v>0</v>
      </c>
      <c r="C12" s="16">
        <v>1</v>
      </c>
    </row>
    <row r="13" spans="1:6" ht="15.6" x14ac:dyDescent="0.3">
      <c r="A13" s="11" t="s">
        <v>163</v>
      </c>
      <c r="B13" s="5">
        <v>0</v>
      </c>
      <c r="C13" s="16">
        <v>2</v>
      </c>
    </row>
    <row r="14" spans="1:6" ht="15.6" x14ac:dyDescent="0.3">
      <c r="A14" s="11" t="s">
        <v>164</v>
      </c>
      <c r="B14" s="5">
        <v>0</v>
      </c>
      <c r="C14" s="16">
        <v>1</v>
      </c>
    </row>
    <row r="15" spans="1:6" ht="15.6" x14ac:dyDescent="0.3">
      <c r="A15" s="11" t="s">
        <v>191</v>
      </c>
      <c r="B15" s="5">
        <v>2</v>
      </c>
      <c r="C15" s="16">
        <v>3</v>
      </c>
    </row>
    <row r="16" spans="1:6" ht="15.6" x14ac:dyDescent="0.3">
      <c r="A16" s="11" t="s">
        <v>194</v>
      </c>
      <c r="B16" s="5">
        <v>1</v>
      </c>
      <c r="C16" s="16">
        <v>2</v>
      </c>
    </row>
    <row r="17" spans="1:3" ht="15.6" x14ac:dyDescent="0.3">
      <c r="A17" s="11" t="s">
        <v>169</v>
      </c>
      <c r="B17" s="5">
        <v>1</v>
      </c>
      <c r="C17" s="16">
        <v>0</v>
      </c>
    </row>
    <row r="18" spans="1:3" ht="15.6" x14ac:dyDescent="0.3">
      <c r="A18" s="11" t="s">
        <v>179</v>
      </c>
      <c r="B18" s="5">
        <v>1</v>
      </c>
      <c r="C18" s="16">
        <v>0</v>
      </c>
    </row>
    <row r="19" spans="1:3" ht="15.6" x14ac:dyDescent="0.3">
      <c r="A19" s="11" t="s">
        <v>180</v>
      </c>
      <c r="B19" s="5">
        <v>1</v>
      </c>
      <c r="C19" s="16">
        <v>1</v>
      </c>
    </row>
    <row r="20" spans="1:3" ht="15.6" x14ac:dyDescent="0.3">
      <c r="A20" s="11" t="s">
        <v>181</v>
      </c>
      <c r="B20" s="5">
        <v>1</v>
      </c>
      <c r="C20" s="16">
        <v>0</v>
      </c>
    </row>
    <row r="21" spans="1:3" ht="15.6" x14ac:dyDescent="0.3">
      <c r="A21" s="11" t="s">
        <v>182</v>
      </c>
      <c r="B21" s="5">
        <v>1</v>
      </c>
      <c r="C21" s="16">
        <v>0</v>
      </c>
    </row>
    <row r="22" spans="1:3" ht="15.6" x14ac:dyDescent="0.3">
      <c r="A22" s="11" t="s">
        <v>183</v>
      </c>
      <c r="B22" s="5">
        <v>0</v>
      </c>
      <c r="C22" s="16">
        <v>1</v>
      </c>
    </row>
    <row r="23" spans="1:3" ht="15.6" x14ac:dyDescent="0.3">
      <c r="A23" s="11" t="s">
        <v>175</v>
      </c>
      <c r="B23" s="5">
        <v>1</v>
      </c>
      <c r="C23" s="16">
        <v>0</v>
      </c>
    </row>
    <row r="24" spans="1:3" ht="15.6" x14ac:dyDescent="0.3">
      <c r="A24" s="15" t="s">
        <v>176</v>
      </c>
      <c r="B24" s="5">
        <v>1</v>
      </c>
      <c r="C24" s="16">
        <v>1</v>
      </c>
    </row>
    <row r="25" spans="1:3" ht="15.6" x14ac:dyDescent="0.3">
      <c r="A25" s="11" t="s">
        <v>177</v>
      </c>
      <c r="B25" s="5">
        <v>3</v>
      </c>
      <c r="C25" s="16">
        <v>2</v>
      </c>
    </row>
    <row r="26" spans="1:3" ht="15.6" x14ac:dyDescent="0.3">
      <c r="A26" s="11" t="s">
        <v>178</v>
      </c>
      <c r="B26" s="5">
        <v>1</v>
      </c>
      <c r="C26" s="16">
        <v>1</v>
      </c>
    </row>
    <row r="27" spans="1:3" ht="15.6" x14ac:dyDescent="0.3">
      <c r="A27" s="19" t="s">
        <v>195</v>
      </c>
      <c r="B27" s="20">
        <v>1</v>
      </c>
      <c r="C27" s="21">
        <v>2</v>
      </c>
    </row>
    <row r="28" spans="1:3" ht="18" x14ac:dyDescent="0.3">
      <c r="A28" s="11" t="s">
        <v>138</v>
      </c>
      <c r="B28" s="7">
        <v>1</v>
      </c>
      <c r="C28" s="23">
        <v>0</v>
      </c>
    </row>
    <row r="29" spans="1:3" ht="18" x14ac:dyDescent="0.3">
      <c r="A29" s="11" t="s">
        <v>132</v>
      </c>
      <c r="B29" s="7">
        <v>1</v>
      </c>
      <c r="C29" s="23">
        <v>2</v>
      </c>
    </row>
    <row r="30" spans="1:3" ht="18" x14ac:dyDescent="0.3">
      <c r="A30" s="11" t="s">
        <v>133</v>
      </c>
      <c r="B30" s="7">
        <v>1</v>
      </c>
      <c r="C30" s="23">
        <v>0</v>
      </c>
    </row>
    <row r="31" spans="1:3" ht="18" x14ac:dyDescent="0.3">
      <c r="A31" s="11" t="s">
        <v>34</v>
      </c>
      <c r="B31" s="7">
        <v>1</v>
      </c>
      <c r="C31" s="23">
        <v>2</v>
      </c>
    </row>
    <row r="32" spans="1:3" ht="18" x14ac:dyDescent="0.3">
      <c r="A32" s="11" t="s">
        <v>145</v>
      </c>
      <c r="B32" s="7">
        <v>1</v>
      </c>
      <c r="C32" s="23">
        <v>1</v>
      </c>
    </row>
    <row r="33" spans="1:3" ht="18" x14ac:dyDescent="0.3">
      <c r="A33" s="11" t="s">
        <v>146</v>
      </c>
      <c r="B33" s="7">
        <v>0</v>
      </c>
      <c r="C33" s="23">
        <v>1</v>
      </c>
    </row>
    <row r="34" spans="1:3" ht="18" x14ac:dyDescent="0.3">
      <c r="A34" s="11" t="s">
        <v>147</v>
      </c>
      <c r="B34" s="7">
        <v>3</v>
      </c>
      <c r="C34" s="23">
        <v>1</v>
      </c>
    </row>
    <row r="35" spans="1:3" ht="18" x14ac:dyDescent="0.3">
      <c r="A35" s="11" t="s">
        <v>130</v>
      </c>
      <c r="B35" s="7">
        <v>0</v>
      </c>
      <c r="C35" s="23">
        <v>1</v>
      </c>
    </row>
    <row r="36" spans="1:3" ht="18" x14ac:dyDescent="0.3">
      <c r="A36" s="11" t="s">
        <v>131</v>
      </c>
      <c r="B36" s="7">
        <v>2</v>
      </c>
      <c r="C36" s="23">
        <v>0</v>
      </c>
    </row>
    <row r="37" spans="1:3" ht="18" x14ac:dyDescent="0.3">
      <c r="A37" s="11" t="s">
        <v>36</v>
      </c>
      <c r="B37" s="7">
        <v>1</v>
      </c>
      <c r="C37" s="23">
        <v>1</v>
      </c>
    </row>
    <row r="38" spans="1:3" ht="18" x14ac:dyDescent="0.3">
      <c r="A38" s="11" t="s">
        <v>37</v>
      </c>
      <c r="B38" s="7">
        <v>2</v>
      </c>
      <c r="C38" s="23">
        <v>0</v>
      </c>
    </row>
    <row r="39" spans="1:3" ht="18" x14ac:dyDescent="0.3">
      <c r="A39" s="11" t="s">
        <v>128</v>
      </c>
      <c r="B39" s="7">
        <v>1</v>
      </c>
      <c r="C39" s="23">
        <v>0</v>
      </c>
    </row>
    <row r="40" spans="1:3" ht="18" x14ac:dyDescent="0.3">
      <c r="A40" s="11" t="s">
        <v>129</v>
      </c>
      <c r="B40" s="7">
        <v>0</v>
      </c>
      <c r="C40" s="23">
        <v>1</v>
      </c>
    </row>
    <row r="41" spans="1:3" ht="18" x14ac:dyDescent="0.3">
      <c r="A41" s="11" t="s">
        <v>37</v>
      </c>
      <c r="B41" s="7">
        <v>1</v>
      </c>
      <c r="C41" s="23">
        <v>1</v>
      </c>
    </row>
    <row r="42" spans="1:3" ht="18" x14ac:dyDescent="0.3">
      <c r="A42" s="11" t="s">
        <v>142</v>
      </c>
      <c r="B42" s="7">
        <v>1</v>
      </c>
      <c r="C42" s="23">
        <v>0</v>
      </c>
    </row>
    <row r="43" spans="1:3" ht="18" x14ac:dyDescent="0.3">
      <c r="A43" s="11" t="s">
        <v>140</v>
      </c>
      <c r="B43" s="7">
        <v>1</v>
      </c>
      <c r="C43" s="23">
        <v>0</v>
      </c>
    </row>
    <row r="44" spans="1:3" ht="18" x14ac:dyDescent="0.3">
      <c r="A44" s="11" t="s">
        <v>141</v>
      </c>
      <c r="B44" s="7">
        <v>1</v>
      </c>
      <c r="C44" s="23">
        <v>0</v>
      </c>
    </row>
    <row r="45" spans="1:3" ht="18" x14ac:dyDescent="0.3">
      <c r="A45" s="11" t="s">
        <v>43</v>
      </c>
      <c r="B45" s="7">
        <v>1</v>
      </c>
      <c r="C45" s="23">
        <v>1</v>
      </c>
    </row>
    <row r="46" spans="1:3" ht="18" x14ac:dyDescent="0.3">
      <c r="A46" s="11" t="s">
        <v>127</v>
      </c>
      <c r="B46" s="7">
        <v>1</v>
      </c>
      <c r="C46" s="23">
        <v>0</v>
      </c>
    </row>
    <row r="47" spans="1:3" ht="18" x14ac:dyDescent="0.3">
      <c r="A47" s="11" t="s">
        <v>44</v>
      </c>
      <c r="B47" s="7">
        <v>0</v>
      </c>
      <c r="C47" s="23">
        <v>1</v>
      </c>
    </row>
    <row r="48" spans="1:3" ht="18" x14ac:dyDescent="0.3">
      <c r="A48" s="11" t="s">
        <v>189</v>
      </c>
      <c r="B48" s="7">
        <v>1</v>
      </c>
      <c r="C48" s="23">
        <v>0</v>
      </c>
    </row>
    <row r="49" spans="1:3" ht="18" x14ac:dyDescent="0.3">
      <c r="A49" s="11" t="s">
        <v>135</v>
      </c>
      <c r="B49" s="7">
        <v>0</v>
      </c>
      <c r="C49" s="23">
        <v>1</v>
      </c>
    </row>
    <row r="50" spans="1:3" ht="18" x14ac:dyDescent="0.3">
      <c r="A50" s="11" t="s">
        <v>136</v>
      </c>
      <c r="B50" s="7">
        <v>1</v>
      </c>
      <c r="C50" s="23">
        <v>1</v>
      </c>
    </row>
    <row r="51" spans="1:3" ht="18" x14ac:dyDescent="0.3">
      <c r="A51" s="11" t="s">
        <v>137</v>
      </c>
      <c r="B51" s="7">
        <v>1</v>
      </c>
      <c r="C51" s="23">
        <v>0</v>
      </c>
    </row>
    <row r="52" spans="1:3" ht="18" x14ac:dyDescent="0.3">
      <c r="A52" s="11" t="s">
        <v>82</v>
      </c>
      <c r="B52" s="7">
        <v>1</v>
      </c>
      <c r="C52" s="23">
        <v>0</v>
      </c>
    </row>
    <row r="53" spans="1:3" ht="18" x14ac:dyDescent="0.3">
      <c r="A53" s="11" t="s">
        <v>139</v>
      </c>
      <c r="B53" s="7">
        <v>1</v>
      </c>
      <c r="C53" s="23">
        <v>1</v>
      </c>
    </row>
    <row r="54" spans="1:3" ht="18" x14ac:dyDescent="0.3">
      <c r="A54" s="11" t="s">
        <v>48</v>
      </c>
      <c r="B54" s="7">
        <v>3</v>
      </c>
      <c r="C54" s="23">
        <v>1</v>
      </c>
    </row>
    <row r="55" spans="1:3" ht="18" x14ac:dyDescent="0.3">
      <c r="A55" s="11" t="s">
        <v>149</v>
      </c>
      <c r="B55" s="7">
        <v>0</v>
      </c>
      <c r="C55" s="23">
        <v>1</v>
      </c>
    </row>
    <row r="56" spans="1:3" ht="18" x14ac:dyDescent="0.3">
      <c r="A56" s="11" t="s">
        <v>150</v>
      </c>
      <c r="B56" s="7">
        <v>0</v>
      </c>
      <c r="C56" s="23">
        <v>1</v>
      </c>
    </row>
    <row r="57" spans="1:3" ht="18" x14ac:dyDescent="0.3">
      <c r="A57" s="11" t="s">
        <v>54</v>
      </c>
      <c r="B57" s="7">
        <v>1</v>
      </c>
      <c r="C57" s="23">
        <v>0</v>
      </c>
    </row>
    <row r="58" spans="1:3" ht="18" x14ac:dyDescent="0.3">
      <c r="A58" s="11" t="s">
        <v>148</v>
      </c>
      <c r="B58" s="7">
        <v>4</v>
      </c>
      <c r="C58" s="23">
        <v>2</v>
      </c>
    </row>
    <row r="59" spans="1:3" ht="18" x14ac:dyDescent="0.3">
      <c r="A59" s="11" t="s">
        <v>134</v>
      </c>
      <c r="B59" s="7">
        <v>0</v>
      </c>
      <c r="C59" s="23">
        <v>1</v>
      </c>
    </row>
    <row r="60" spans="1:3" ht="18" x14ac:dyDescent="0.3">
      <c r="A60" s="11" t="s">
        <v>49</v>
      </c>
      <c r="B60" s="7">
        <v>0</v>
      </c>
      <c r="C60" s="23">
        <v>1</v>
      </c>
    </row>
    <row r="61" spans="1:3" ht="18" x14ac:dyDescent="0.3">
      <c r="A61" s="11" t="s">
        <v>51</v>
      </c>
      <c r="B61" s="7">
        <v>1</v>
      </c>
      <c r="C61" s="23">
        <v>0</v>
      </c>
    </row>
    <row r="62" spans="1:3" ht="18" x14ac:dyDescent="0.3">
      <c r="A62" s="11" t="s">
        <v>155</v>
      </c>
      <c r="B62" s="7">
        <v>2</v>
      </c>
      <c r="C62" s="23">
        <v>0</v>
      </c>
    </row>
    <row r="63" spans="1:3" ht="18" x14ac:dyDescent="0.3">
      <c r="A63" s="11" t="s">
        <v>156</v>
      </c>
      <c r="B63" s="7">
        <v>1</v>
      </c>
      <c r="C63" s="23">
        <v>0</v>
      </c>
    </row>
    <row r="64" spans="1:3" ht="18" x14ac:dyDescent="0.3">
      <c r="A64" s="11" t="s">
        <v>51</v>
      </c>
      <c r="B64" s="7">
        <v>1</v>
      </c>
      <c r="C64" s="23">
        <v>1</v>
      </c>
    </row>
    <row r="65" spans="1:3" ht="18" x14ac:dyDescent="0.3">
      <c r="A65" s="11" t="s">
        <v>153</v>
      </c>
      <c r="B65" s="7">
        <v>1</v>
      </c>
      <c r="C65" s="23">
        <v>0</v>
      </c>
    </row>
    <row r="66" spans="1:3" ht="18" x14ac:dyDescent="0.3">
      <c r="A66" s="11" t="s">
        <v>154</v>
      </c>
      <c r="B66" s="7">
        <v>3</v>
      </c>
      <c r="C66" s="23">
        <v>0</v>
      </c>
    </row>
    <row r="67" spans="1:3" ht="18" x14ac:dyDescent="0.3">
      <c r="A67" s="11" t="s">
        <v>143</v>
      </c>
      <c r="B67" s="7">
        <v>0</v>
      </c>
      <c r="C67" s="23">
        <v>2</v>
      </c>
    </row>
    <row r="68" spans="1:3" ht="18" x14ac:dyDescent="0.3">
      <c r="A68" s="11" t="s">
        <v>152</v>
      </c>
      <c r="B68" s="7">
        <v>0</v>
      </c>
      <c r="C68" s="23">
        <v>1</v>
      </c>
    </row>
    <row r="69" spans="1:3" ht="18" x14ac:dyDescent="0.3">
      <c r="A69" s="11" t="s">
        <v>144</v>
      </c>
      <c r="B69" s="7">
        <v>0</v>
      </c>
      <c r="C69" s="23">
        <v>2</v>
      </c>
    </row>
    <row r="70" spans="1:3" ht="18" x14ac:dyDescent="0.3">
      <c r="A70" s="11" t="s">
        <v>54</v>
      </c>
      <c r="B70" s="7">
        <v>1</v>
      </c>
      <c r="C70" s="23">
        <v>3</v>
      </c>
    </row>
    <row r="71" spans="1:3" ht="18" x14ac:dyDescent="0.3">
      <c r="A71" s="11" t="s">
        <v>151</v>
      </c>
      <c r="B71" s="7">
        <v>1</v>
      </c>
      <c r="C71" s="23">
        <v>0</v>
      </c>
    </row>
    <row r="72" spans="1:3" ht="18" x14ac:dyDescent="0.3">
      <c r="A72" s="11" t="s">
        <v>55</v>
      </c>
      <c r="B72" s="7">
        <v>1</v>
      </c>
      <c r="C72" s="23">
        <v>1</v>
      </c>
    </row>
    <row r="73" spans="1:3" ht="18" x14ac:dyDescent="0.3">
      <c r="A73" s="11" t="s">
        <v>159</v>
      </c>
      <c r="B73" s="7">
        <v>2</v>
      </c>
      <c r="C73" s="23">
        <v>0</v>
      </c>
    </row>
    <row r="74" spans="1:3" ht="18" x14ac:dyDescent="0.3">
      <c r="A74" s="11" t="s">
        <v>157</v>
      </c>
      <c r="B74" s="7">
        <v>1</v>
      </c>
      <c r="C74" s="23">
        <v>1</v>
      </c>
    </row>
    <row r="75" spans="1:3" ht="18" x14ac:dyDescent="0.3">
      <c r="A75" s="11" t="s">
        <v>158</v>
      </c>
      <c r="B75" s="7">
        <v>1</v>
      </c>
      <c r="C75" s="23">
        <v>1</v>
      </c>
    </row>
    <row r="76" spans="1:3" ht="18" x14ac:dyDescent="0.3">
      <c r="A76" s="11" t="s">
        <v>161</v>
      </c>
      <c r="B76" s="7">
        <v>1</v>
      </c>
      <c r="C76" s="23">
        <v>0</v>
      </c>
    </row>
    <row r="77" spans="1:3" ht="18" x14ac:dyDescent="0.3">
      <c r="A77" s="30" t="s">
        <v>162</v>
      </c>
      <c r="B77" s="26">
        <v>0</v>
      </c>
      <c r="C77" s="27">
        <v>1</v>
      </c>
    </row>
    <row r="78" spans="1:3" ht="15.6" x14ac:dyDescent="0.3">
      <c r="A78" s="11" t="s">
        <v>81</v>
      </c>
      <c r="B78" s="31">
        <v>0</v>
      </c>
      <c r="C78" s="32">
        <v>6</v>
      </c>
    </row>
    <row r="79" spans="1:3" ht="15.6" x14ac:dyDescent="0.3">
      <c r="A79" s="11" t="s">
        <v>188</v>
      </c>
      <c r="B79" s="31">
        <v>1</v>
      </c>
      <c r="C79" s="32">
        <v>2</v>
      </c>
    </row>
    <row r="80" spans="1:3" ht="15.6" x14ac:dyDescent="0.3">
      <c r="A80" s="11" t="s">
        <v>3</v>
      </c>
      <c r="B80" s="31">
        <v>0</v>
      </c>
      <c r="C80" s="32">
        <v>1</v>
      </c>
    </row>
    <row r="81" spans="1:3" ht="15.6" x14ac:dyDescent="0.3">
      <c r="A81" s="11" t="s">
        <v>83</v>
      </c>
      <c r="B81" s="31">
        <v>1</v>
      </c>
      <c r="C81" s="32">
        <v>0</v>
      </c>
    </row>
    <row r="82" spans="1:3" ht="15.6" x14ac:dyDescent="0.3">
      <c r="A82" s="11" t="s">
        <v>126</v>
      </c>
      <c r="B82" s="31">
        <v>1</v>
      </c>
      <c r="C82" s="32">
        <v>0</v>
      </c>
    </row>
    <row r="83" spans="1:3" ht="15.6" x14ac:dyDescent="0.3">
      <c r="A83" s="11" t="s">
        <v>84</v>
      </c>
      <c r="B83" s="31">
        <v>1</v>
      </c>
      <c r="C83" s="32">
        <v>2</v>
      </c>
    </row>
    <row r="84" spans="1:3" ht="15.6" x14ac:dyDescent="0.3">
      <c r="A84" s="11" t="s">
        <v>85</v>
      </c>
      <c r="B84" s="31">
        <v>0</v>
      </c>
      <c r="C84" s="32">
        <v>1</v>
      </c>
    </row>
    <row r="85" spans="1:3" ht="15.6" x14ac:dyDescent="0.3">
      <c r="A85" s="11" t="s">
        <v>6</v>
      </c>
      <c r="B85" s="31">
        <v>1</v>
      </c>
      <c r="C85" s="32">
        <v>4</v>
      </c>
    </row>
    <row r="86" spans="1:3" ht="15.6" x14ac:dyDescent="0.3">
      <c r="A86" s="11" t="s">
        <v>86</v>
      </c>
      <c r="B86" s="31">
        <v>4</v>
      </c>
      <c r="C86" s="32">
        <v>1</v>
      </c>
    </row>
    <row r="87" spans="1:3" ht="15.6" x14ac:dyDescent="0.3">
      <c r="A87" s="11" t="s">
        <v>87</v>
      </c>
      <c r="B87" s="31">
        <v>1</v>
      </c>
      <c r="C87" s="32">
        <v>0</v>
      </c>
    </row>
    <row r="88" spans="1:3" ht="15.6" x14ac:dyDescent="0.3">
      <c r="A88" s="11" t="s">
        <v>54</v>
      </c>
      <c r="B88" s="31">
        <v>1</v>
      </c>
      <c r="C88" s="32">
        <v>0</v>
      </c>
    </row>
    <row r="89" spans="1:3" ht="15.6" x14ac:dyDescent="0.3">
      <c r="A89" s="11" t="s">
        <v>103</v>
      </c>
      <c r="B89" s="31">
        <v>2</v>
      </c>
      <c r="C89" s="32">
        <v>4</v>
      </c>
    </row>
    <row r="90" spans="1:3" ht="15.6" x14ac:dyDescent="0.3">
      <c r="A90" s="11" t="s">
        <v>92</v>
      </c>
      <c r="B90" s="31">
        <v>0</v>
      </c>
      <c r="C90" s="32">
        <v>1</v>
      </c>
    </row>
    <row r="91" spans="1:3" ht="15.6" x14ac:dyDescent="0.3">
      <c r="A91" s="11" t="s">
        <v>93</v>
      </c>
      <c r="B91" s="31">
        <v>2</v>
      </c>
      <c r="C91" s="32">
        <v>0</v>
      </c>
    </row>
    <row r="92" spans="1:3" ht="15.6" x14ac:dyDescent="0.3">
      <c r="A92" s="11" t="s">
        <v>94</v>
      </c>
      <c r="B92" s="31">
        <v>0</v>
      </c>
      <c r="C92" s="32">
        <v>1</v>
      </c>
    </row>
    <row r="93" spans="1:3" ht="15.6" x14ac:dyDescent="0.3">
      <c r="A93" s="11" t="s">
        <v>95</v>
      </c>
      <c r="B93" s="31">
        <v>1</v>
      </c>
      <c r="C93" s="32">
        <v>1</v>
      </c>
    </row>
    <row r="94" spans="1:3" ht="15.6" x14ac:dyDescent="0.3">
      <c r="A94" s="11" t="s">
        <v>96</v>
      </c>
      <c r="B94" s="31">
        <v>0</v>
      </c>
      <c r="C94" s="32">
        <v>1</v>
      </c>
    </row>
    <row r="95" spans="1:3" ht="15.6" x14ac:dyDescent="0.3">
      <c r="A95" s="11" t="s">
        <v>107</v>
      </c>
      <c r="B95" s="31">
        <v>0</v>
      </c>
      <c r="C95" s="32">
        <v>1</v>
      </c>
    </row>
    <row r="96" spans="1:3" ht="15.6" x14ac:dyDescent="0.3">
      <c r="A96" s="11" t="s">
        <v>104</v>
      </c>
      <c r="B96" s="31">
        <v>1</v>
      </c>
      <c r="C96" s="32">
        <v>4</v>
      </c>
    </row>
    <row r="97" spans="1:3" ht="15.6" x14ac:dyDescent="0.3">
      <c r="A97" s="11" t="s">
        <v>106</v>
      </c>
      <c r="B97" s="31">
        <v>1</v>
      </c>
      <c r="C97" s="32">
        <v>0</v>
      </c>
    </row>
    <row r="98" spans="1:3" ht="15.6" x14ac:dyDescent="0.3">
      <c r="A98" s="11" t="s">
        <v>105</v>
      </c>
      <c r="B98" s="31">
        <v>3</v>
      </c>
      <c r="C98" s="32">
        <v>1</v>
      </c>
    </row>
    <row r="99" spans="1:3" ht="15.6" x14ac:dyDescent="0.3">
      <c r="A99" s="11" t="s">
        <v>115</v>
      </c>
      <c r="B99" s="31">
        <v>3</v>
      </c>
      <c r="C99" s="32">
        <v>0</v>
      </c>
    </row>
    <row r="100" spans="1:3" ht="15.6" x14ac:dyDescent="0.3">
      <c r="A100" s="11" t="s">
        <v>116</v>
      </c>
      <c r="B100" s="31">
        <v>1</v>
      </c>
      <c r="C100" s="32">
        <v>1</v>
      </c>
    </row>
    <row r="101" spans="1:3" ht="15.6" x14ac:dyDescent="0.3">
      <c r="A101" s="11" t="s">
        <v>117</v>
      </c>
      <c r="B101" s="31">
        <v>2</v>
      </c>
      <c r="C101" s="32">
        <v>0</v>
      </c>
    </row>
    <row r="102" spans="1:3" ht="15.6" x14ac:dyDescent="0.3">
      <c r="A102" s="11" t="s">
        <v>13</v>
      </c>
      <c r="B102" s="31">
        <v>1</v>
      </c>
      <c r="C102" s="32">
        <v>0</v>
      </c>
    </row>
    <row r="103" spans="1:3" ht="15.6" x14ac:dyDescent="0.3">
      <c r="A103" s="11" t="s">
        <v>88</v>
      </c>
      <c r="B103" s="31">
        <v>1</v>
      </c>
      <c r="C103" s="32">
        <v>1</v>
      </c>
    </row>
    <row r="104" spans="1:3" ht="15.6" x14ac:dyDescent="0.3">
      <c r="A104" s="11" t="s">
        <v>89</v>
      </c>
      <c r="B104" s="31">
        <v>0</v>
      </c>
      <c r="C104" s="32">
        <v>2</v>
      </c>
    </row>
    <row r="105" spans="1:3" ht="15.6" x14ac:dyDescent="0.3">
      <c r="A105" s="11" t="s">
        <v>90</v>
      </c>
      <c r="B105" s="31">
        <v>0</v>
      </c>
      <c r="C105" s="32">
        <v>1</v>
      </c>
    </row>
    <row r="106" spans="1:3" ht="15.6" x14ac:dyDescent="0.3">
      <c r="A106" s="11" t="s">
        <v>108</v>
      </c>
      <c r="B106" s="31">
        <v>2</v>
      </c>
      <c r="C106" s="32">
        <v>3</v>
      </c>
    </row>
    <row r="107" spans="1:3" ht="15.6" x14ac:dyDescent="0.3">
      <c r="A107" s="11" t="s">
        <v>118</v>
      </c>
      <c r="B107" s="31">
        <v>2</v>
      </c>
      <c r="C107" s="32">
        <v>1</v>
      </c>
    </row>
    <row r="108" spans="1:3" ht="15.6" x14ac:dyDescent="0.3">
      <c r="A108" s="11" t="s">
        <v>119</v>
      </c>
      <c r="B108" s="31">
        <v>1</v>
      </c>
      <c r="C108" s="32">
        <v>1</v>
      </c>
    </row>
    <row r="109" spans="1:3" ht="15.6" x14ac:dyDescent="0.3">
      <c r="A109" s="11" t="s">
        <v>109</v>
      </c>
      <c r="B109" s="31">
        <v>1</v>
      </c>
      <c r="C109" s="32">
        <v>0</v>
      </c>
    </row>
    <row r="110" spans="1:3" ht="15.6" x14ac:dyDescent="0.3">
      <c r="A110" s="11" t="s">
        <v>120</v>
      </c>
      <c r="B110" s="31">
        <v>0</v>
      </c>
      <c r="C110" s="32">
        <v>2</v>
      </c>
    </row>
    <row r="111" spans="1:3" ht="15.6" x14ac:dyDescent="0.3">
      <c r="A111" s="11" t="s">
        <v>121</v>
      </c>
      <c r="B111" s="31">
        <v>0</v>
      </c>
      <c r="C111" s="32">
        <v>2</v>
      </c>
    </row>
    <row r="112" spans="1:3" ht="15.6" x14ac:dyDescent="0.3">
      <c r="A112" s="11" t="s">
        <v>122</v>
      </c>
      <c r="B112" s="31">
        <v>0</v>
      </c>
      <c r="C112" s="32">
        <v>1</v>
      </c>
    </row>
    <row r="113" spans="1:3" ht="15.6" x14ac:dyDescent="0.3">
      <c r="A113" s="11" t="s">
        <v>123</v>
      </c>
      <c r="B113" s="31">
        <v>0</v>
      </c>
      <c r="C113" s="32">
        <v>1</v>
      </c>
    </row>
    <row r="114" spans="1:3" ht="15.6" x14ac:dyDescent="0.3">
      <c r="A114" s="11" t="s">
        <v>124</v>
      </c>
      <c r="B114" s="31">
        <v>0</v>
      </c>
      <c r="C114" s="32">
        <v>3</v>
      </c>
    </row>
    <row r="115" spans="1:3" ht="15.6" x14ac:dyDescent="0.3">
      <c r="A115" s="11" t="s">
        <v>125</v>
      </c>
      <c r="B115" s="31">
        <v>1</v>
      </c>
      <c r="C115" s="32">
        <v>1</v>
      </c>
    </row>
    <row r="116" spans="1:3" ht="15.6" x14ac:dyDescent="0.3">
      <c r="A116" s="11" t="s">
        <v>110</v>
      </c>
      <c r="B116" s="31">
        <v>1</v>
      </c>
      <c r="C116" s="32">
        <v>1</v>
      </c>
    </row>
    <row r="117" spans="1:3" ht="15.6" x14ac:dyDescent="0.3">
      <c r="A117" s="11" t="s">
        <v>111</v>
      </c>
      <c r="B117" s="31">
        <v>1</v>
      </c>
      <c r="C117" s="32">
        <v>1</v>
      </c>
    </row>
    <row r="118" spans="1:3" ht="15.6" x14ac:dyDescent="0.3">
      <c r="A118" s="11" t="s">
        <v>112</v>
      </c>
      <c r="B118" s="31">
        <v>1</v>
      </c>
      <c r="C118" s="32">
        <v>1</v>
      </c>
    </row>
    <row r="119" spans="1:3" ht="15.6" x14ac:dyDescent="0.3">
      <c r="A119" s="11" t="s">
        <v>114</v>
      </c>
      <c r="B119" s="31">
        <v>1</v>
      </c>
      <c r="C119" s="32">
        <v>0</v>
      </c>
    </row>
    <row r="120" spans="1:3" ht="15.6" x14ac:dyDescent="0.3">
      <c r="A120" s="11" t="s">
        <v>113</v>
      </c>
      <c r="B120" s="31">
        <v>1</v>
      </c>
      <c r="C120" s="32">
        <v>2</v>
      </c>
    </row>
    <row r="121" spans="1:3" ht="15.6" x14ac:dyDescent="0.3">
      <c r="A121" s="11" t="s">
        <v>97</v>
      </c>
      <c r="B121" s="31">
        <v>0</v>
      </c>
      <c r="C121" s="32">
        <v>1</v>
      </c>
    </row>
    <row r="122" spans="1:3" ht="15.6" x14ac:dyDescent="0.3">
      <c r="A122" s="11" t="s">
        <v>98</v>
      </c>
      <c r="B122" s="31">
        <v>3</v>
      </c>
      <c r="C122" s="32">
        <v>2</v>
      </c>
    </row>
    <row r="123" spans="1:3" ht="15.6" x14ac:dyDescent="0.3">
      <c r="A123" s="11" t="s">
        <v>99</v>
      </c>
      <c r="B123" s="31">
        <v>1</v>
      </c>
      <c r="C123" s="32">
        <v>0</v>
      </c>
    </row>
    <row r="124" spans="1:3" ht="15.6" x14ac:dyDescent="0.3">
      <c r="A124" s="11" t="s">
        <v>27</v>
      </c>
      <c r="B124" s="31">
        <v>1</v>
      </c>
      <c r="C124" s="32">
        <v>2</v>
      </c>
    </row>
    <row r="125" spans="1:3" ht="15.6" x14ac:dyDescent="0.3">
      <c r="A125" s="11" t="s">
        <v>100</v>
      </c>
      <c r="B125" s="31">
        <v>0</v>
      </c>
      <c r="C125" s="32">
        <v>1</v>
      </c>
    </row>
    <row r="126" spans="1:3" ht="15.6" x14ac:dyDescent="0.3">
      <c r="A126" s="11" t="s">
        <v>101</v>
      </c>
      <c r="B126" s="31">
        <v>3</v>
      </c>
      <c r="C126" s="32">
        <v>0</v>
      </c>
    </row>
    <row r="127" spans="1:3" ht="15.6" x14ac:dyDescent="0.3">
      <c r="A127" s="11" t="s">
        <v>102</v>
      </c>
      <c r="B127" s="31">
        <v>1</v>
      </c>
      <c r="C127" s="32">
        <v>1</v>
      </c>
    </row>
    <row r="128" spans="1:3" ht="15.6" x14ac:dyDescent="0.3">
      <c r="A128" s="11" t="s">
        <v>79</v>
      </c>
      <c r="B128" s="31">
        <v>1</v>
      </c>
      <c r="C128" s="32">
        <v>1</v>
      </c>
    </row>
    <row r="129" spans="1:3" ht="15.6" x14ac:dyDescent="0.3">
      <c r="A129" s="11" t="s">
        <v>80</v>
      </c>
      <c r="B129" s="31">
        <v>0</v>
      </c>
      <c r="C129" s="32">
        <v>2</v>
      </c>
    </row>
    <row r="130" spans="1:3" ht="15.6" x14ac:dyDescent="0.3">
      <c r="A130" s="11" t="s">
        <v>91</v>
      </c>
      <c r="B130" s="31">
        <v>0</v>
      </c>
      <c r="C130" s="32">
        <v>1</v>
      </c>
    </row>
    <row r="131" spans="1:3" ht="15.6" x14ac:dyDescent="0.3">
      <c r="A131" s="11" t="s">
        <v>30</v>
      </c>
      <c r="B131" s="31">
        <v>0</v>
      </c>
      <c r="C131" s="32">
        <v>1</v>
      </c>
    </row>
    <row r="132" spans="1:3" ht="15.6" x14ac:dyDescent="0.3">
      <c r="A132" s="30" t="s">
        <v>94</v>
      </c>
      <c r="B132" s="33">
        <v>0</v>
      </c>
      <c r="C132" s="34">
        <v>1</v>
      </c>
    </row>
  </sheetData>
  <pageMargins left="0.7" right="0.7" top="0.75" bottom="0.75" header="0.3" footer="0.3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DASHBOARD</vt:lpstr>
      <vt:lpstr>Karkala</vt:lpstr>
      <vt:lpstr>Kundapura</vt:lpstr>
      <vt:lpstr>Udupi</vt:lpstr>
      <vt:lpstr>District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  1</dc:creator>
  <cp:lastModifiedBy>Bandhavya P</cp:lastModifiedBy>
  <cp:lastPrinted>2025-03-19T07:58:07Z</cp:lastPrinted>
  <dcterms:created xsi:type="dcterms:W3CDTF">2025-03-19T04:58:59Z</dcterms:created>
  <dcterms:modified xsi:type="dcterms:W3CDTF">2026-03-29T15:28:02Z</dcterms:modified>
</cp:coreProperties>
</file>