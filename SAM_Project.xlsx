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\RCHO\"/>
    </mc:Choice>
  </mc:AlternateContent>
  <xr:revisionPtr revIDLastSave="0" documentId="13_ncr:1_{FEA18C82-245E-4BBB-AF2C-1F76B154202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Udupi" sheetId="1" state="hidden" r:id="rId1"/>
    <sheet name="Kundapura" sheetId="2" state="hidden" r:id="rId2"/>
    <sheet name="Karkala" sheetId="3" state="hidden" r:id="rId3"/>
    <sheet name="Dashboard" sheetId="8" r:id="rId4"/>
    <sheet name="Karkala (2)" sheetId="7" state="hidden" r:id="rId5"/>
    <sheet name="Kundapura (2)" sheetId="6" state="hidden" r:id="rId6"/>
    <sheet name="Udupi (2)" sheetId="5" state="hidden" r:id="rId7"/>
    <sheet name="District" sheetId="9" state="hidden" r:id="rId8"/>
  </sheets>
  <definedNames>
    <definedName name="_xlchart.v2.0" hidden="1">'Karkala (2)'!$M$6:$M$7</definedName>
    <definedName name="_xlchart.v2.1" hidden="1">'Karkala (2)'!$N$6:$N$7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9" l="1"/>
  <c r="D32" i="9"/>
  <c r="C32" i="9"/>
  <c r="E35" i="5"/>
  <c r="F35" i="5"/>
  <c r="E32" i="6"/>
  <c r="F32" i="6"/>
  <c r="F24" i="7"/>
  <c r="E24" i="7"/>
  <c r="D24" i="7" l="1"/>
  <c r="D32" i="6"/>
  <c r="D35" i="5"/>
  <c r="D34" i="1"/>
  <c r="D23" i="3"/>
  <c r="D31" i="2"/>
</calcChain>
</file>

<file path=xl/sharedStrings.xml><?xml version="1.0" encoding="utf-8"?>
<sst xmlns="http://schemas.openxmlformats.org/spreadsheetml/2006/main" count="433" uniqueCount="113">
  <si>
    <t>Sl.No</t>
  </si>
  <si>
    <t>Name of the Institution</t>
  </si>
  <si>
    <t>No of SAM  Children</t>
  </si>
  <si>
    <t>Hirebettu</t>
  </si>
  <si>
    <t>Hiriyadka</t>
  </si>
  <si>
    <t>Kemmannu</t>
  </si>
  <si>
    <t>Kukkehalli</t>
  </si>
  <si>
    <t>Malpe</t>
  </si>
  <si>
    <t>Manipura</t>
  </si>
  <si>
    <t>Pernankila</t>
  </si>
  <si>
    <t>UHC Udupi</t>
  </si>
  <si>
    <t>UHC Manipal</t>
  </si>
  <si>
    <t>FPAI</t>
  </si>
  <si>
    <t>Avarse</t>
  </si>
  <si>
    <t>Barkur</t>
  </si>
  <si>
    <t>Brahmavara</t>
  </si>
  <si>
    <t>Karje</t>
  </si>
  <si>
    <t>Kodibengre</t>
  </si>
  <si>
    <t>Kokkarne</t>
  </si>
  <si>
    <t>Kota</t>
  </si>
  <si>
    <t>Kolalgiri</t>
  </si>
  <si>
    <t>Mandarthi</t>
  </si>
  <si>
    <t>Pethri</t>
  </si>
  <si>
    <t>Saibarakatte</t>
  </si>
  <si>
    <t>Saligrama</t>
  </si>
  <si>
    <t>Sastana</t>
  </si>
  <si>
    <t>Kaup</t>
  </si>
  <si>
    <t xml:space="preserve">Moodabettu </t>
  </si>
  <si>
    <t>Mudarangadi</t>
  </si>
  <si>
    <t>Padubidri</t>
  </si>
  <si>
    <t>Shirva</t>
  </si>
  <si>
    <t>Aloor</t>
  </si>
  <si>
    <t>Basrur</t>
  </si>
  <si>
    <t>Bidkalkatte</t>
  </si>
  <si>
    <t>Gangolli</t>
  </si>
  <si>
    <t>Haladi</t>
  </si>
  <si>
    <t>Hakladi</t>
  </si>
  <si>
    <t>Kedur</t>
  </si>
  <si>
    <t>Kandlur</t>
  </si>
  <si>
    <t>Korgi</t>
  </si>
  <si>
    <t>Kumbashi</t>
  </si>
  <si>
    <t>Koteshwara</t>
  </si>
  <si>
    <t xml:space="preserve">Kodi </t>
  </si>
  <si>
    <t>Shankarnarayana</t>
  </si>
  <si>
    <t>Siddapura</t>
  </si>
  <si>
    <t>Vandse</t>
  </si>
  <si>
    <t>G.H Kundapura</t>
  </si>
  <si>
    <t>Kodi ( Urban)</t>
  </si>
  <si>
    <t>Baindur</t>
  </si>
  <si>
    <t>Hallihole</t>
  </si>
  <si>
    <t>Kirimanjeshwara</t>
  </si>
  <si>
    <t>Kollur</t>
  </si>
  <si>
    <t>Maravanthe</t>
  </si>
  <si>
    <t>Nada</t>
  </si>
  <si>
    <t>Shiroor</t>
  </si>
  <si>
    <t>Belve</t>
  </si>
  <si>
    <t>Total</t>
  </si>
  <si>
    <t>AJEKAR</t>
  </si>
  <si>
    <t>BAILOOR</t>
  </si>
  <si>
    <t>BAJAGOLI</t>
  </si>
  <si>
    <t>BELMAN</t>
  </si>
  <si>
    <t>DONDERANGADI</t>
  </si>
  <si>
    <t>DURGA</t>
  </si>
  <si>
    <t>HIRGANA</t>
  </si>
  <si>
    <t>IDU</t>
  </si>
  <si>
    <t>INNA</t>
  </si>
  <si>
    <t>IRVATHOOR</t>
  </si>
  <si>
    <t>KUKKUNDOOR</t>
  </si>
  <si>
    <t>MALA</t>
  </si>
  <si>
    <t>NANDALIKE</t>
  </si>
  <si>
    <t>PALLI</t>
  </si>
  <si>
    <t>SACHERIPETE</t>
  </si>
  <si>
    <t>MUNIYALU</t>
  </si>
  <si>
    <t>HEBRI</t>
  </si>
  <si>
    <t>NITTE</t>
  </si>
  <si>
    <t>GH KARKALA</t>
  </si>
  <si>
    <t>No of SAM Children</t>
  </si>
  <si>
    <t xml:space="preserve"> TOTAL</t>
  </si>
  <si>
    <t xml:space="preserve">Total </t>
  </si>
  <si>
    <t>Village</t>
  </si>
  <si>
    <t>80 Badagabettu</t>
  </si>
  <si>
    <t>Bommarabettu</t>
  </si>
  <si>
    <t>Tenkanidiyoor</t>
  </si>
  <si>
    <t>Kurkalu</t>
  </si>
  <si>
    <t>Alevoor</t>
  </si>
  <si>
    <t>Shivalli</t>
  </si>
  <si>
    <t>Kulunje</t>
  </si>
  <si>
    <t>Bellala</t>
  </si>
  <si>
    <t>Uppunda</t>
  </si>
  <si>
    <t>Jadkal</t>
  </si>
  <si>
    <t>Albadi</t>
  </si>
  <si>
    <t>Shedimane</t>
  </si>
  <si>
    <t>Hattiyangadi</t>
  </si>
  <si>
    <t>Kadthala</t>
  </si>
  <si>
    <t>Kuchur</t>
  </si>
  <si>
    <t>Korangrapadi</t>
  </si>
  <si>
    <t>Kodavoor</t>
  </si>
  <si>
    <t>Enagudde</t>
  </si>
  <si>
    <t>Mallaru</t>
  </si>
  <si>
    <t>Innanje</t>
  </si>
  <si>
    <t>Neelavara</t>
  </si>
  <si>
    <t>Noojadi</t>
  </si>
  <si>
    <t>Bijoor</t>
  </si>
  <si>
    <t>Hebri</t>
  </si>
  <si>
    <t xml:space="preserve"> -</t>
  </si>
  <si>
    <t xml:space="preserve">DETAILS OF SAM CHIDLREN     </t>
  </si>
  <si>
    <t>F</t>
  </si>
  <si>
    <t>M</t>
  </si>
  <si>
    <t>Female</t>
  </si>
  <si>
    <t>Male</t>
  </si>
  <si>
    <t>Sum of Female</t>
  </si>
  <si>
    <t>Sum of Male</t>
  </si>
  <si>
    <t xml:space="preserve">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</si>
</sst>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mbria"/>
      <family val="1"/>
      <scheme val="major"/>
    </font>
    <font>
      <sz val="10"/>
      <name val="Arial"/>
      <family val="2"/>
    </font>
    <font>
      <b/>
      <sz val="12"/>
      <name val="Arial Narrow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0" xfId="0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colors>
    <mruColors>
      <color rgb="FF006600"/>
      <color rgb="FF00FF00"/>
      <color rgb="FFFFCCFF"/>
      <color rgb="FFFF66FF"/>
      <color rgb="FFC800C8"/>
      <color rgb="FFFF00FF"/>
      <color rgb="FFFF33CC"/>
      <color rgb="FF660066"/>
      <color rgb="FFF692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r>
              <a:rPr lang="en-IN" sz="1600"/>
              <a:t>Gender Based SAM Report of Udupi 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62467191601052"/>
          <c:y val="0.25651793525809269"/>
          <c:w val="0.36975087489063868"/>
          <c:h val="0.61625145815106441"/>
        </c:manualLayout>
      </c:layout>
      <c:doughnutChart>
        <c:varyColors val="1"/>
        <c:ser>
          <c:idx val="0"/>
          <c:order val="0"/>
          <c:spPr>
            <a:solidFill>
              <a:srgbClr val="FF33CC"/>
            </a:solidFill>
            <a:ln>
              <a:solidFill>
                <a:srgbClr val="660066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chemeClr val="tx2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</a:schemeClr>
                  </a:gs>
                </a:gsLst>
                <a:lin ang="10800000" scaled="0"/>
              </a:gradFill>
              <a:ln w="19050"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33-426A-9ED4-CEA92CDDAC3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FF66FF"/>
                  </a:gs>
                  <a:gs pos="51000">
                    <a:srgbClr val="FF47FF"/>
                  </a:gs>
                  <a:gs pos="100000">
                    <a:srgbClr val="C800C8"/>
                  </a:gs>
                </a:gsLst>
                <a:lin ang="10800000" scaled="0"/>
              </a:gradFill>
              <a:ln w="19050">
                <a:solidFill>
                  <a:srgbClr val="6600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33-426A-9ED4-CEA92CDDAC31}"/>
              </c:ext>
            </c:extLst>
          </c:dPt>
          <c:dLbls>
            <c:dLbl>
              <c:idx val="0"/>
              <c:layout>
                <c:manualLayout>
                  <c:x val="0.15555555555555556"/>
                  <c:y val="-0.180555555555555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33-426A-9ED4-CEA92CDDAC31}"/>
                </c:ext>
              </c:extLst>
            </c:dLbl>
            <c:dLbl>
              <c:idx val="1"/>
              <c:layout>
                <c:manualLayout>
                  <c:x val="-0.16111111111111112"/>
                  <c:y val="-4.629629629629671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33-426A-9ED4-CEA92CDDAC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District!$G$6:$G$7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District!$H$6:$H$7</c:f>
              <c:numCache>
                <c:formatCode>General</c:formatCode>
                <c:ptCount val="2"/>
                <c:pt idx="0">
                  <c:v>25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33-426A-9ED4-CEA92CDDA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 sz="1050">
          <a:solidFill>
            <a:sysClr val="windowText" lastClr="000000"/>
          </a:solidFill>
          <a:latin typeface="Lato Black" panose="020F0A0202020403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r>
              <a:rPr lang="en-IN" sz="1600"/>
              <a:t>Gender-wise Distribution of SAM Cases in Udupi Taluk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'Udupi (2)'!$N$5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33CC"/>
            </a:solidFill>
            <a:ln>
              <a:solidFill>
                <a:srgbClr val="C800C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'Udupi (2)'!$O$5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C-4311-B4CE-4A6E0C880D8D}"/>
            </c:ext>
          </c:extLst>
        </c:ser>
        <c:ser>
          <c:idx val="1"/>
          <c:order val="1"/>
          <c:tx>
            <c:strRef>
              <c:f>'Udupi (2)'!$N$6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'Udupi (2)'!$O$6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C-4311-B4CE-4A6E0C880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135791"/>
        <c:axId val="1890140111"/>
      </c:barChart>
      <c:catAx>
        <c:axId val="189013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endParaRPr lang="en-US"/>
          </a:p>
        </c:txPr>
        <c:crossAx val="1890140111"/>
        <c:crosses val="autoZero"/>
        <c:auto val="1"/>
        <c:lblAlgn val="ctr"/>
        <c:lblOffset val="100"/>
        <c:noMultiLvlLbl val="0"/>
      </c:catAx>
      <c:valAx>
        <c:axId val="1890140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013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 sz="1050">
          <a:solidFill>
            <a:sysClr val="windowText" lastClr="000000"/>
          </a:solidFill>
          <a:latin typeface="Lato Black" panose="020F0A0202020403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r>
              <a:rPr lang="en-IN" sz="16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</a:rPr>
              <a:t>Gender-wise Distribution of SAM Cases in Kundapura Taluk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91094664228018"/>
          <c:y val="0.25495974936922111"/>
          <c:w val="0.49278244760661244"/>
          <c:h val="0.69568477537887452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explosion val="3"/>
          <c:dPt>
            <c:idx val="0"/>
            <c:bubble3D val="0"/>
            <c:spPr>
              <a:gradFill>
                <a:gsLst>
                  <a:gs pos="0">
                    <a:srgbClr val="00B0F0"/>
                  </a:gs>
                  <a:gs pos="100000">
                    <a:srgbClr val="0070C0"/>
                  </a:gs>
                </a:gsLst>
                <a:lin ang="108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3-44D4-9425-A8EE4E4A558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FF66FF"/>
                  </a:gs>
                  <a:gs pos="49000">
                    <a:srgbClr val="E800E8"/>
                  </a:gs>
                  <a:gs pos="100000">
                    <a:srgbClr val="C800C8"/>
                  </a:gs>
                </a:gsLst>
                <a:lin ang="108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3-44D4-9425-A8EE4E4A55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'Kundapura (2)'!$M$5:$M$6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'Kundapura (2)'!$N$5:$N$6</c:f>
              <c:numCache>
                <c:formatCode>General</c:formatCode>
                <c:ptCount val="2"/>
                <c:pt idx="0">
                  <c:v>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F3-44D4-9425-A8EE4E4A5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071779131337219"/>
          <c:y val="0.26887792694104973"/>
          <c:w val="0.27290026246719162"/>
          <c:h val="8.5527486147564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 sz="1050">
          <a:solidFill>
            <a:sysClr val="windowText" lastClr="000000"/>
          </a:solidFill>
          <a:latin typeface="Lato Black" panose="020F0A0202020403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600"/>
            </a:pPr>
            <a:r>
              <a:rPr lang="en-IN" sz="1600" b="0" i="0" kern="1200" spc="0" baseline="0">
                <a:solidFill>
                  <a:srgbClr val="000000"/>
                </a:solidFill>
                <a:effectLst/>
                <a:latin typeface="Lato Black" panose="020F0A02020204030203" pitchFamily="34" charset="0"/>
              </a:rPr>
              <a:t>Gender-wise Distribution of SAM Cases in Karkal Taluk</a:t>
            </a:r>
            <a:endParaRPr lang="en-IN" sz="1600">
              <a:effectLst/>
            </a:endParaRPr>
          </a:p>
        </cx:rich>
      </cx:tx>
    </cx:title>
    <cx:plotArea>
      <cx:plotAreaRegion>
        <cx:series layoutId="funnel" uniqueId="{69164715-2092-40E7-8384-9D1D929158C2}">
          <cx:spPr>
            <a:gradFill>
              <a:gsLst>
                <a:gs pos="0">
                  <a:srgbClr val="006600"/>
                </a:gs>
                <a:gs pos="100000">
                  <a:srgbClr val="00FF00"/>
                </a:gs>
              </a:gsLst>
              <a:lin ang="10800000" scaled="0"/>
            </a:gra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50" b="0" i="0">
                    <a:solidFill>
                      <a:sysClr val="windowText" lastClr="000000"/>
                    </a:solidFill>
                    <a:latin typeface="Lato Black" panose="020F0A02020204030203" pitchFamily="34" charset="0"/>
                    <a:ea typeface="Lato Black" panose="020F0A02020204030203" pitchFamily="34" charset="0"/>
                    <a:cs typeface="Lato Black" panose="020F0A02020204030203" pitchFamily="34" charset="0"/>
                  </a:defRPr>
                </a:pPr>
                <a:endParaRPr lang="en-IN" sz="1050">
                  <a:solidFill>
                    <a:sysClr val="windowText" lastClr="000000"/>
                  </a:solidFill>
                  <a:latin typeface="Lato Black" panose="020F0A0202020403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300000012"/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0" i="0">
                <a:solidFill>
                  <a:sysClr val="windowText" lastClr="000000"/>
                </a:solidFill>
                <a:latin typeface="Lato Black" panose="020F0A02020204030203" pitchFamily="34" charset="0"/>
                <a:ea typeface="Lato Black" panose="020F0A02020204030203" pitchFamily="34" charset="0"/>
                <a:cs typeface="Lato Black" panose="020F0A02020204030203" pitchFamily="34" charset="0"/>
              </a:defRPr>
            </a:pPr>
            <a:endParaRPr lang="en-IN" sz="1050">
              <a:solidFill>
                <a:sysClr val="windowText" lastClr="000000"/>
              </a:solidFill>
              <a:latin typeface="Lato Black" panose="020F0A02020204030203" pitchFamily="34" charset="0"/>
            </a:endParaRPr>
          </a:p>
        </cx:txPr>
      </cx:axis>
    </cx:plotArea>
  </cx:chart>
  <cx:spPr>
    <a:solidFill>
      <a:schemeClr val="accent6">
        <a:lumMod val="40000"/>
        <a:lumOff val="60000"/>
      </a:schemeClr>
    </a:soli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jpeg"/><Relationship Id="rId4" Type="http://schemas.microsoft.com/office/2014/relationships/chartEx" Target="../charts/chartEx1.xml"/><Relationship Id="rId9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296333</xdr:colOff>
      <xdr:row>0</xdr:row>
      <xdr:rowOff>20318</xdr:rowOff>
    </xdr:from>
    <xdr:to>
      <xdr:col>25</xdr:col>
      <xdr:colOff>457199</xdr:colOff>
      <xdr:row>4</xdr:row>
      <xdr:rowOff>59266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C2CBA6A-8039-1607-9F0D-A53B09DABE44}"/>
            </a:ext>
          </a:extLst>
        </xdr:cNvPr>
        <xdr:cNvSpPr/>
      </xdr:nvSpPr>
      <xdr:spPr>
        <a:xfrm>
          <a:off x="14926733" y="20318"/>
          <a:ext cx="770466" cy="78401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441960</xdr:colOff>
      <xdr:row>0</xdr:row>
      <xdr:rowOff>62140</xdr:rowOff>
    </xdr:from>
    <xdr:to>
      <xdr:col>14</xdr:col>
      <xdr:colOff>76200</xdr:colOff>
      <xdr:row>4</xdr:row>
      <xdr:rowOff>67733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A00C92A-75BC-429F-9E21-5663DB4DDF1A}"/>
            </a:ext>
          </a:extLst>
        </xdr:cNvPr>
        <xdr:cNvSpPr/>
      </xdr:nvSpPr>
      <xdr:spPr>
        <a:xfrm>
          <a:off x="1051560" y="62140"/>
          <a:ext cx="7559040" cy="7506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Severe Acute Malnutrition</a:t>
          </a:r>
          <a:r>
            <a:rPr lang="en-IN" sz="3200" b="1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200" b="1" u="sng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93133</xdr:colOff>
      <xdr:row>5</xdr:row>
      <xdr:rowOff>16933</xdr:rowOff>
    </xdr:from>
    <xdr:to>
      <xdr:col>18</xdr:col>
      <xdr:colOff>118533</xdr:colOff>
      <xdr:row>24</xdr:row>
      <xdr:rowOff>100753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B6AC5E4-B75B-8FCD-BD1F-3B1AD4B55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194733</xdr:colOff>
      <xdr:row>25</xdr:row>
      <xdr:rowOff>8467</xdr:rowOff>
    </xdr:from>
    <xdr:to>
      <xdr:col>25</xdr:col>
      <xdr:colOff>458892</xdr:colOff>
      <xdr:row>41</xdr:row>
      <xdr:rowOff>145627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B2BD4DE0-8DE8-2D8F-05A1-BD7F45051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42332</xdr:colOff>
      <xdr:row>25</xdr:row>
      <xdr:rowOff>8466</xdr:rowOff>
    </xdr:from>
    <xdr:to>
      <xdr:col>18</xdr:col>
      <xdr:colOff>109219</xdr:colOff>
      <xdr:row>41</xdr:row>
      <xdr:rowOff>98214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49F7216F-B342-AEDF-BE1D-D9C05119D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203200</xdr:colOff>
      <xdr:row>5</xdr:row>
      <xdr:rowOff>8467</xdr:rowOff>
    </xdr:from>
    <xdr:to>
      <xdr:col>25</xdr:col>
      <xdr:colOff>453812</xdr:colOff>
      <xdr:row>24</xdr:row>
      <xdr:rowOff>127001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">
              <a:extLst>
                <a:ext uri="{FF2B5EF4-FFF2-40B4-BE49-F238E27FC236}">
                  <a16:creationId xmlns:a16="http://schemas.microsoft.com/office/drawing/2014/main" id="{27E07F37-2E95-12E4-97D7-62B3FC21F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76000" y="922867"/>
              <a:ext cx="4517812" cy="3593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62653</xdr:colOff>
      <xdr:row>4</xdr:row>
      <xdr:rowOff>185419</xdr:rowOff>
    </xdr:from>
    <xdr:to>
      <xdr:col>10</xdr:col>
      <xdr:colOff>575733</xdr:colOff>
      <xdr:row>41</xdr:row>
      <xdr:rowOff>101600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555EE8-2E59-C5CD-1563-7D43DBAF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" y="930486"/>
          <a:ext cx="6609080" cy="6808047"/>
        </a:xfrm>
        <a:prstGeom prst="rect">
          <a:avLst/>
        </a:prstGeom>
      </xdr:spPr>
    </xdr:pic>
    <xdr:clientData/>
  </xdr:twoCellAnchor>
  <xdr:twoCellAnchor>
    <xdr:from>
      <xdr:col>0</xdr:col>
      <xdr:colOff>71967</xdr:colOff>
      <xdr:row>0</xdr:row>
      <xdr:rowOff>38946</xdr:rowOff>
    </xdr:from>
    <xdr:to>
      <xdr:col>1</xdr:col>
      <xdr:colOff>414867</xdr:colOff>
      <xdr:row>4</xdr:row>
      <xdr:rowOff>67733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33F4940-9821-41D8-BC13-7B34EB0B7111}"/>
            </a:ext>
          </a:extLst>
        </xdr:cNvPr>
        <xdr:cNvSpPr/>
      </xdr:nvSpPr>
      <xdr:spPr>
        <a:xfrm>
          <a:off x="71967" y="38946"/>
          <a:ext cx="952500" cy="77385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188807</xdr:colOff>
      <xdr:row>0</xdr:row>
      <xdr:rowOff>67734</xdr:rowOff>
    </xdr:from>
    <xdr:to>
      <xdr:col>1</xdr:col>
      <xdr:colOff>321733</xdr:colOff>
      <xdr:row>4</xdr:row>
      <xdr:rowOff>77121</xdr:rowOff>
    </xdr:to>
    <xdr:pic>
      <xdr:nvPicPr>
        <xdr:cNvPr id="6" name="Graphic 5" descr="Earth Globe - Asia with solid fill">
          <a:extLst>
            <a:ext uri="{FF2B5EF4-FFF2-40B4-BE49-F238E27FC236}">
              <a16:creationId xmlns:a16="http://schemas.microsoft.com/office/drawing/2014/main" id="{AF13DD94-0970-DF9F-8411-87E7EACF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88807" y="67734"/>
          <a:ext cx="742526" cy="754454"/>
        </a:xfrm>
        <a:prstGeom prst="rect">
          <a:avLst/>
        </a:prstGeom>
      </xdr:spPr>
    </xdr:pic>
    <xdr:clientData/>
  </xdr:twoCellAnchor>
  <xdr:twoCellAnchor>
    <xdr:from>
      <xdr:col>14</xdr:col>
      <xdr:colOff>118533</xdr:colOff>
      <xdr:row>0</xdr:row>
      <xdr:rowOff>42332</xdr:rowOff>
    </xdr:from>
    <xdr:to>
      <xdr:col>16</xdr:col>
      <xdr:colOff>423333</xdr:colOff>
      <xdr:row>4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BC2A863-CD77-BF51-C9EA-C2D9FB7DE627}"/>
            </a:ext>
          </a:extLst>
        </xdr:cNvPr>
        <xdr:cNvSpPr/>
      </xdr:nvSpPr>
      <xdr:spPr>
        <a:xfrm>
          <a:off x="8652933" y="42332"/>
          <a:ext cx="1524000" cy="77893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457200</xdr:colOff>
      <xdr:row>0</xdr:row>
      <xdr:rowOff>31044</xdr:rowOff>
    </xdr:from>
    <xdr:to>
      <xdr:col>19</xdr:col>
      <xdr:colOff>152400</xdr:colOff>
      <xdr:row>4</xdr:row>
      <xdr:rowOff>47977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E72BADE-AFC8-48F8-A46E-68276C42A929}"/>
            </a:ext>
          </a:extLst>
        </xdr:cNvPr>
        <xdr:cNvSpPr/>
      </xdr:nvSpPr>
      <xdr:spPr>
        <a:xfrm>
          <a:off x="10210800" y="31044"/>
          <a:ext cx="1524000" cy="762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186267</xdr:colOff>
      <xdr:row>0</xdr:row>
      <xdr:rowOff>42332</xdr:rowOff>
    </xdr:from>
    <xdr:to>
      <xdr:col>21</xdr:col>
      <xdr:colOff>499533</xdr:colOff>
      <xdr:row>4</xdr:row>
      <xdr:rowOff>42332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78E92AC-C22A-4E7B-A1B4-91DFF556F3D8}"/>
            </a:ext>
          </a:extLst>
        </xdr:cNvPr>
        <xdr:cNvSpPr/>
      </xdr:nvSpPr>
      <xdr:spPr>
        <a:xfrm>
          <a:off x="11768667" y="42332"/>
          <a:ext cx="1532466" cy="74506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533399</xdr:colOff>
      <xdr:row>0</xdr:row>
      <xdr:rowOff>36688</xdr:rowOff>
    </xdr:from>
    <xdr:to>
      <xdr:col>24</xdr:col>
      <xdr:colOff>262465</xdr:colOff>
      <xdr:row>4</xdr:row>
      <xdr:rowOff>36688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E266C7C-6681-4756-A177-542F17A5133A}"/>
            </a:ext>
          </a:extLst>
        </xdr:cNvPr>
        <xdr:cNvSpPr/>
      </xdr:nvSpPr>
      <xdr:spPr>
        <a:xfrm>
          <a:off x="13334999" y="36688"/>
          <a:ext cx="1557866" cy="74506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24</xdr:col>
      <xdr:colOff>321734</xdr:colOff>
      <xdr:row>0</xdr:row>
      <xdr:rowOff>25400</xdr:rowOff>
    </xdr:from>
    <xdr:to>
      <xdr:col>25</xdr:col>
      <xdr:colOff>431801</xdr:colOff>
      <xdr:row>4</xdr:row>
      <xdr:rowOff>0</xdr:rowOff>
    </xdr:to>
    <xdr:pic>
      <xdr:nvPicPr>
        <xdr:cNvPr id="17" name="Graphic 16" descr="Gender with solid fill">
          <a:extLst>
            <a:ext uri="{FF2B5EF4-FFF2-40B4-BE49-F238E27FC236}">
              <a16:creationId xmlns:a16="http://schemas.microsoft.com/office/drawing/2014/main" id="{06BF0159-2DE7-BF1F-2748-9FD50D2F5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4952134" y="25400"/>
          <a:ext cx="719667" cy="719667"/>
        </a:xfrm>
        <a:prstGeom prst="rect">
          <a:avLst/>
        </a:prstGeom>
      </xdr:spPr>
    </xdr:pic>
    <xdr:clientData/>
  </xdr:twoCellAnchor>
  <xdr:twoCellAnchor>
    <xdr:from>
      <xdr:col>14</xdr:col>
      <xdr:colOff>118533</xdr:colOff>
      <xdr:row>0</xdr:row>
      <xdr:rowOff>42332</xdr:rowOff>
    </xdr:from>
    <xdr:to>
      <xdr:col>16</xdr:col>
      <xdr:colOff>414866</xdr:colOff>
      <xdr:row>2</xdr:row>
      <xdr:rowOff>143932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A1F9931-4BDE-4FCC-9396-C6A7E69D38B8}"/>
            </a:ext>
          </a:extLst>
        </xdr:cNvPr>
        <xdr:cNvSpPr txBox="1"/>
      </xdr:nvSpPr>
      <xdr:spPr>
        <a:xfrm>
          <a:off x="8652933" y="42332"/>
          <a:ext cx="1515533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UDUPI DISTRICT SAM CASES</a:t>
          </a:r>
        </a:p>
      </xdr:txBody>
    </xdr:sp>
    <xdr:clientData/>
  </xdr:twoCellAnchor>
  <xdr:twoCellAnchor>
    <xdr:from>
      <xdr:col>16</xdr:col>
      <xdr:colOff>457200</xdr:colOff>
      <xdr:row>0</xdr:row>
      <xdr:rowOff>31044</xdr:rowOff>
    </xdr:from>
    <xdr:to>
      <xdr:col>19</xdr:col>
      <xdr:colOff>143933</xdr:colOff>
      <xdr:row>2</xdr:row>
      <xdr:rowOff>132644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13CA469-C696-4C87-9768-522406291FF5}"/>
            </a:ext>
          </a:extLst>
        </xdr:cNvPr>
        <xdr:cNvSpPr txBox="1"/>
      </xdr:nvSpPr>
      <xdr:spPr>
        <a:xfrm>
          <a:off x="10210800" y="31044"/>
          <a:ext cx="1515533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KARKAL TALUK SAM CASES</a:t>
          </a:r>
        </a:p>
      </xdr:txBody>
    </xdr:sp>
    <xdr:clientData/>
  </xdr:twoCellAnchor>
  <xdr:twoCellAnchor>
    <xdr:from>
      <xdr:col>19</xdr:col>
      <xdr:colOff>186267</xdr:colOff>
      <xdr:row>0</xdr:row>
      <xdr:rowOff>42332</xdr:rowOff>
    </xdr:from>
    <xdr:to>
      <xdr:col>21</xdr:col>
      <xdr:colOff>482600</xdr:colOff>
      <xdr:row>3</xdr:row>
      <xdr:rowOff>186266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5198305-4D03-4D61-BD77-ABE8A367A12A}"/>
            </a:ext>
          </a:extLst>
        </xdr:cNvPr>
        <xdr:cNvSpPr txBox="1"/>
      </xdr:nvSpPr>
      <xdr:spPr>
        <a:xfrm>
          <a:off x="11768667" y="42332"/>
          <a:ext cx="1515533" cy="702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KUNDAPURA TALUK SAM CASES</a:t>
          </a:r>
        </a:p>
      </xdr:txBody>
    </xdr:sp>
    <xdr:clientData/>
  </xdr:twoCellAnchor>
  <xdr:twoCellAnchor>
    <xdr:from>
      <xdr:col>21</xdr:col>
      <xdr:colOff>533399</xdr:colOff>
      <xdr:row>0</xdr:row>
      <xdr:rowOff>36688</xdr:rowOff>
    </xdr:from>
    <xdr:to>
      <xdr:col>24</xdr:col>
      <xdr:colOff>220132</xdr:colOff>
      <xdr:row>2</xdr:row>
      <xdr:rowOff>129822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5C76D25-3A55-4412-A0EA-051AB2222D9C}"/>
            </a:ext>
          </a:extLst>
        </xdr:cNvPr>
        <xdr:cNvSpPr txBox="1"/>
      </xdr:nvSpPr>
      <xdr:spPr>
        <a:xfrm>
          <a:off x="13334999" y="36688"/>
          <a:ext cx="1515533" cy="465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UDUPI TALUK S+AM CASES</a:t>
          </a:r>
        </a:p>
      </xdr:txBody>
    </xdr:sp>
    <xdr:clientData/>
  </xdr:twoCellAnchor>
  <xdr:twoCellAnchor>
    <xdr:from>
      <xdr:col>15</xdr:col>
      <xdr:colOff>330200</xdr:colOff>
      <xdr:row>1</xdr:row>
      <xdr:rowOff>169332</xdr:rowOff>
    </xdr:from>
    <xdr:to>
      <xdr:col>16</xdr:col>
      <xdr:colOff>440267</xdr:colOff>
      <xdr:row>4</xdr:row>
      <xdr:rowOff>76198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C931238-AB55-44F0-A7DA-B7A86AD80339}"/>
            </a:ext>
          </a:extLst>
        </xdr:cNvPr>
        <xdr:cNvSpPr txBox="1"/>
      </xdr:nvSpPr>
      <xdr:spPr>
        <a:xfrm>
          <a:off x="9474200" y="355599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35</a:t>
          </a:r>
        </a:p>
      </xdr:txBody>
    </xdr:sp>
    <xdr:clientData/>
  </xdr:twoCellAnchor>
  <xdr:twoCellAnchor>
    <xdr:from>
      <xdr:col>18</xdr:col>
      <xdr:colOff>59267</xdr:colOff>
      <xdr:row>1</xdr:row>
      <xdr:rowOff>160865</xdr:rowOff>
    </xdr:from>
    <xdr:to>
      <xdr:col>19</xdr:col>
      <xdr:colOff>169334</xdr:colOff>
      <xdr:row>4</xdr:row>
      <xdr:rowOff>67731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2D95300-0283-40BF-9C21-B1913B35FA8F}"/>
            </a:ext>
          </a:extLst>
        </xdr:cNvPr>
        <xdr:cNvSpPr txBox="1"/>
      </xdr:nvSpPr>
      <xdr:spPr>
        <a:xfrm>
          <a:off x="11032067" y="347132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5</a:t>
          </a:r>
        </a:p>
      </xdr:txBody>
    </xdr:sp>
    <xdr:clientData/>
  </xdr:twoCellAnchor>
  <xdr:twoCellAnchor>
    <xdr:from>
      <xdr:col>20</xdr:col>
      <xdr:colOff>381000</xdr:colOff>
      <xdr:row>1</xdr:row>
      <xdr:rowOff>152398</xdr:rowOff>
    </xdr:from>
    <xdr:to>
      <xdr:col>21</xdr:col>
      <xdr:colOff>491067</xdr:colOff>
      <xdr:row>4</xdr:row>
      <xdr:rowOff>59264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1A4F95D-0EBB-45D0-9A70-3DBBEDB7499A}"/>
            </a:ext>
          </a:extLst>
        </xdr:cNvPr>
        <xdr:cNvSpPr txBox="1"/>
      </xdr:nvSpPr>
      <xdr:spPr>
        <a:xfrm>
          <a:off x="12573000" y="338665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15</a:t>
          </a:r>
        </a:p>
      </xdr:txBody>
    </xdr:sp>
    <xdr:clientData/>
  </xdr:twoCellAnchor>
  <xdr:twoCellAnchor>
    <xdr:from>
      <xdr:col>23</xdr:col>
      <xdr:colOff>169334</xdr:colOff>
      <xdr:row>1</xdr:row>
      <xdr:rowOff>152398</xdr:rowOff>
    </xdr:from>
    <xdr:to>
      <xdr:col>24</xdr:col>
      <xdr:colOff>279401</xdr:colOff>
      <xdr:row>4</xdr:row>
      <xdr:rowOff>59264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6DCB490-2588-4588-892F-04321222F748}"/>
            </a:ext>
          </a:extLst>
        </xdr:cNvPr>
        <xdr:cNvSpPr txBox="1"/>
      </xdr:nvSpPr>
      <xdr:spPr>
        <a:xfrm>
          <a:off x="14190134" y="338665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15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1.672710300925" createdVersion="8" refreshedVersion="8" minRefreshableVersion="3" recordCount="5" xr:uid="{98D71A12-F468-414E-A707-7A1F8EC0176D}">
  <cacheSource type="worksheet">
    <worksheetSource name="Table4"/>
  </cacheSource>
  <cacheFields count="3">
    <cacheField name="Village" numFmtId="0">
      <sharedItems count="5">
        <s v="Kadthala"/>
        <s v="IDU"/>
        <s v="MALA"/>
        <s v="Hebri"/>
        <s v="Kuchur"/>
      </sharedItems>
    </cacheField>
    <cacheField name="F" numFmtId="0">
      <sharedItems containsSemiMixedTypes="0" containsString="0" containsNumber="1" containsInteger="1" minValue="0" maxValue="1"/>
    </cacheField>
    <cacheField name="M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1.672710300925" createdVersion="8" refreshedVersion="8" minRefreshableVersion="3" recordCount="11" xr:uid="{3B66A8C7-DEE4-4A27-9380-4936A3F8F848}">
  <cacheSource type="worksheet">
    <worksheetSource name="Table3"/>
  </cacheSource>
  <cacheFields count="3">
    <cacheField name="Village" numFmtId="0">
      <sharedItems count="11">
        <s v="Kulunje"/>
        <s v="Noojadi"/>
        <s v="Kedur"/>
        <s v="Bellala"/>
        <s v="Uppunda"/>
        <s v="Bijoor"/>
        <s v="Kirimanjeshwara"/>
        <s v="Jadkal"/>
        <s v="Shiroor"/>
        <s v="Albadi"/>
        <s v="Shedimane"/>
      </sharedItems>
    </cacheField>
    <cacheField name="F" numFmtId="0">
      <sharedItems containsSemiMixedTypes="0" containsString="0" containsNumber="1" containsInteger="1" minValue="0" maxValue="2"/>
    </cacheField>
    <cacheField name="M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1.857864120371" createdVersion="8" refreshedVersion="8" minRefreshableVersion="3" recordCount="29" xr:uid="{17EBCE66-1ADD-42B9-AB9B-698605AD301D}">
  <cacheSource type="worksheet">
    <worksheetSource name="Table2"/>
  </cacheSource>
  <cacheFields count="4">
    <cacheField name="Village" numFmtId="0">
      <sharedItems count="29">
        <s v="80 Badagabettu"/>
        <s v="Bommarabettu"/>
        <s v="Tenkanidiyoor"/>
        <s v="Kodavoor"/>
        <s v="Alevoor"/>
        <s v="Korangrapadi"/>
        <s v="Shivalli"/>
        <s v="Karje"/>
        <s v="Neelavara"/>
        <s v="Mallaru"/>
        <s v="Innanje"/>
        <s v="Enagudde"/>
        <s v="Kurkalu"/>
        <s v="Kulunje"/>
        <s v="Noojadi"/>
        <s v="Kedur"/>
        <s v="Bellala"/>
        <s v="Uppunda"/>
        <s v="Bijoor"/>
        <s v="Kirimanjeshwara"/>
        <s v="Jadkal"/>
        <s v="Shiroor"/>
        <s v="Albadi"/>
        <s v="Shedimane"/>
        <s v="Kadthala"/>
        <s v="IDU"/>
        <s v="MALA"/>
        <s v="Hebri"/>
        <s v="Kuchur"/>
      </sharedItems>
    </cacheField>
    <cacheField name="No of SAM  Children" numFmtId="0">
      <sharedItems containsSemiMixedTypes="0" containsString="0" containsNumber="1" containsInteger="1" minValue="1" maxValue="3"/>
    </cacheField>
    <cacheField name="F" numFmtId="0">
      <sharedItems containsSemiMixedTypes="0" containsString="0" containsNumber="1" containsInteger="1" minValue="0" maxValue="2"/>
    </cacheField>
    <cacheField name="M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2.544595370367" createdVersion="8" refreshedVersion="8" minRefreshableVersion="3" recordCount="13" xr:uid="{1DD58768-168D-43B8-B7B9-66AFD44B1883}">
  <cacheSource type="worksheet">
    <worksheetSource name="Table1"/>
  </cacheSource>
  <cacheFields count="3">
    <cacheField name="Village" numFmtId="0">
      <sharedItems/>
    </cacheField>
    <cacheField name="Female" numFmtId="0">
      <sharedItems containsSemiMixedTypes="0" containsString="0" containsNumber="1" containsInteger="1" minValue="0" maxValue="1"/>
    </cacheField>
    <cacheField name="Male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"/>
    <n v="1"/>
  </r>
  <r>
    <x v="1"/>
    <n v="0"/>
    <n v="1"/>
  </r>
  <r>
    <x v="2"/>
    <n v="0"/>
    <n v="1"/>
  </r>
  <r>
    <x v="3"/>
    <n v="0"/>
    <n v="1"/>
  </r>
  <r>
    <x v="4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0"/>
    <n v="1"/>
  </r>
  <r>
    <x v="1"/>
    <n v="0"/>
    <n v="1"/>
  </r>
  <r>
    <x v="2"/>
    <n v="0"/>
    <n v="2"/>
  </r>
  <r>
    <x v="3"/>
    <n v="0"/>
    <n v="1"/>
  </r>
  <r>
    <x v="4"/>
    <n v="0"/>
    <n v="2"/>
  </r>
  <r>
    <x v="5"/>
    <n v="0"/>
    <n v="1"/>
  </r>
  <r>
    <x v="6"/>
    <n v="1"/>
    <n v="0"/>
  </r>
  <r>
    <x v="7"/>
    <n v="2"/>
    <n v="0"/>
  </r>
  <r>
    <x v="8"/>
    <n v="0"/>
    <n v="2"/>
  </r>
  <r>
    <x v="9"/>
    <n v="0"/>
    <n v="1"/>
  </r>
  <r>
    <x v="10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1"/>
    <n v="1"/>
    <n v="0"/>
  </r>
  <r>
    <x v="1"/>
    <n v="1"/>
    <n v="1"/>
    <n v="0"/>
  </r>
  <r>
    <x v="2"/>
    <n v="1"/>
    <n v="0"/>
    <n v="1"/>
  </r>
  <r>
    <x v="3"/>
    <n v="1"/>
    <n v="0"/>
    <n v="1"/>
  </r>
  <r>
    <x v="4"/>
    <n v="3"/>
    <n v="1"/>
    <n v="2"/>
  </r>
  <r>
    <x v="5"/>
    <n v="1"/>
    <n v="0"/>
    <n v="1"/>
  </r>
  <r>
    <x v="6"/>
    <n v="1"/>
    <n v="0"/>
    <n v="1"/>
  </r>
  <r>
    <x v="7"/>
    <n v="1"/>
    <n v="1"/>
    <n v="0"/>
  </r>
  <r>
    <x v="8"/>
    <n v="1"/>
    <n v="0"/>
    <n v="1"/>
  </r>
  <r>
    <x v="9"/>
    <n v="1"/>
    <n v="0"/>
    <n v="1"/>
  </r>
  <r>
    <x v="10"/>
    <n v="1"/>
    <n v="0"/>
    <n v="1"/>
  </r>
  <r>
    <x v="11"/>
    <n v="1"/>
    <n v="0"/>
    <n v="1"/>
  </r>
  <r>
    <x v="12"/>
    <n v="1"/>
    <n v="1"/>
    <n v="0"/>
  </r>
  <r>
    <x v="13"/>
    <n v="1"/>
    <n v="0"/>
    <n v="1"/>
  </r>
  <r>
    <x v="14"/>
    <n v="1"/>
    <n v="0"/>
    <n v="1"/>
  </r>
  <r>
    <x v="15"/>
    <n v="2"/>
    <n v="0"/>
    <n v="2"/>
  </r>
  <r>
    <x v="16"/>
    <n v="1"/>
    <n v="0"/>
    <n v="1"/>
  </r>
  <r>
    <x v="17"/>
    <n v="2"/>
    <n v="0"/>
    <n v="2"/>
  </r>
  <r>
    <x v="18"/>
    <n v="1"/>
    <n v="0"/>
    <n v="1"/>
  </r>
  <r>
    <x v="19"/>
    <n v="1"/>
    <n v="1"/>
    <n v="0"/>
  </r>
  <r>
    <x v="20"/>
    <n v="2"/>
    <n v="2"/>
    <n v="0"/>
  </r>
  <r>
    <x v="21"/>
    <n v="2"/>
    <n v="0"/>
    <n v="2"/>
  </r>
  <r>
    <x v="22"/>
    <n v="1"/>
    <n v="0"/>
    <n v="1"/>
  </r>
  <r>
    <x v="23"/>
    <n v="1"/>
    <n v="1"/>
    <n v="0"/>
  </r>
  <r>
    <x v="24"/>
    <n v="1"/>
    <n v="0"/>
    <n v="1"/>
  </r>
  <r>
    <x v="25"/>
    <n v="1"/>
    <n v="0"/>
    <n v="1"/>
  </r>
  <r>
    <x v="26"/>
    <n v="1"/>
    <n v="0"/>
    <n v="1"/>
  </r>
  <r>
    <x v="27"/>
    <n v="1"/>
    <n v="0"/>
    <n v="1"/>
  </r>
  <r>
    <x v="28"/>
    <n v="1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80 Badagabettu"/>
    <n v="1"/>
    <n v="0"/>
  </r>
  <r>
    <s v="Bommarabettu"/>
    <n v="1"/>
    <n v="0"/>
  </r>
  <r>
    <s v="Tenkanidiyoor"/>
    <n v="0"/>
    <n v="1"/>
  </r>
  <r>
    <s v="Kodavoor"/>
    <n v="0"/>
    <n v="1"/>
  </r>
  <r>
    <s v="Alevoor"/>
    <n v="1"/>
    <n v="2"/>
  </r>
  <r>
    <s v="Korangrapadi"/>
    <n v="0"/>
    <n v="1"/>
  </r>
  <r>
    <s v="Shivalli"/>
    <n v="0"/>
    <n v="1"/>
  </r>
  <r>
    <s v="Karje"/>
    <n v="1"/>
    <n v="0"/>
  </r>
  <r>
    <s v="Neelavara"/>
    <n v="0"/>
    <n v="1"/>
  </r>
  <r>
    <s v="Mallaru"/>
    <n v="0"/>
    <n v="1"/>
  </r>
  <r>
    <s v="Innanje"/>
    <n v="0"/>
    <n v="1"/>
  </r>
  <r>
    <s v="Enagudde"/>
    <n v="0"/>
    <n v="1"/>
  </r>
  <r>
    <s v="Kurkalu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4E58B-4CD6-4CB5-B8B4-9F8101A428A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M2:N3" firstHeaderRow="0" firstDataRow="1" firstDataCol="0"/>
  <pivotFields count="3">
    <pivotField showAll="0">
      <items count="6">
        <item x="3"/>
        <item x="1"/>
        <item x="0"/>
        <item x="4"/>
        <item x="2"/>
        <item t="default"/>
      </items>
    </pivotField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Female" fld="1" baseField="0" baseItem="0"/>
    <dataField name="Male" fld="2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55443-CAAA-4EA9-9597-1B528F1AC71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2:N3" firstHeaderRow="0" firstDataRow="1" firstDataCol="0"/>
  <pivotFields count="3">
    <pivotField showAll="0">
      <items count="12">
        <item x="9"/>
        <item x="3"/>
        <item x="5"/>
        <item x="7"/>
        <item x="2"/>
        <item x="6"/>
        <item x="0"/>
        <item x="1"/>
        <item x="10"/>
        <item x="8"/>
        <item x="4"/>
        <item t="default"/>
      </items>
    </pivotField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Female" fld="1" baseField="0" baseItem="0"/>
    <dataField name="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68E43-F107-4698-BC45-30C1D7CA4733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3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emale" fld="1" baseField="0" baseItem="0"/>
    <dataField name="Sum of 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864B6-C3B7-4ECE-B44A-79EBF970397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2:H3" firstHeaderRow="0" firstDataRow="1" firstDataCol="0"/>
  <pivotFields count="4">
    <pivotField showAll="0">
      <items count="30">
        <item x="0"/>
        <item x="22"/>
        <item x="4"/>
        <item x="16"/>
        <item x="18"/>
        <item x="1"/>
        <item x="11"/>
        <item x="27"/>
        <item x="25"/>
        <item x="10"/>
        <item x="20"/>
        <item x="24"/>
        <item x="7"/>
        <item x="15"/>
        <item x="19"/>
        <item x="3"/>
        <item x="5"/>
        <item x="28"/>
        <item x="13"/>
        <item x="12"/>
        <item x="26"/>
        <item x="9"/>
        <item x="8"/>
        <item x="14"/>
        <item x="23"/>
        <item x="21"/>
        <item x="6"/>
        <item x="2"/>
        <item x="17"/>
        <item t="default"/>
      </items>
    </pivotField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Male" fld="3" baseField="0" baseItem="0"/>
    <dataField name="Fe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DD8E73-F19B-4CE6-9C34-7D28EAA20D15}" name="Table4" displayName="Table4" ref="I2:K7" totalsRowShown="0">
  <autoFilter ref="I2:K7" xr:uid="{43DD8E73-F19B-4CE6-9C34-7D28EAA20D15}"/>
  <tableColumns count="3">
    <tableColumn id="1" xr3:uid="{CAE067C9-99C5-4FF3-A90F-62C05085435F}" name="Village"/>
    <tableColumn id="2" xr3:uid="{84EC4997-EB22-4936-BA4F-73DA376C1444}" name="F"/>
    <tableColumn id="3" xr3:uid="{82A5BB41-A91F-404F-BEAD-2DCF20832846}" name="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672C86-59F1-43DF-A4CB-657C674171C5}" name="Table3" displayName="Table3" ref="I2:K13" totalsRowShown="0">
  <autoFilter ref="I2:K13" xr:uid="{46672C86-59F1-43DF-A4CB-657C674171C5}"/>
  <tableColumns count="3">
    <tableColumn id="1" xr3:uid="{0A2E0836-1DDC-423E-931A-AC250E1E839E}" name="Village"/>
    <tableColumn id="2" xr3:uid="{27ED58B0-C6C3-42B5-9C3D-0816DD60FAA3}" name="F"/>
    <tableColumn id="3" xr3:uid="{22254B5E-AE4E-404E-A11A-90A6CC346E8B}" name="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C83E5-BA34-4C82-B710-6241455E60A1}" name="Table1" displayName="Table1" ref="J2:L15" totalsRowShown="0">
  <autoFilter ref="J2:L15" xr:uid="{F5DC83E5-BA34-4C82-B710-6241455E60A1}"/>
  <tableColumns count="3">
    <tableColumn id="1" xr3:uid="{1E582FD4-415D-4A7D-9AE7-7CC5FB451B67}" name="Village"/>
    <tableColumn id="2" xr3:uid="{CBFA6EBC-CB1B-4BDE-858D-9F138965B6C8}" name="Female"/>
    <tableColumn id="3" xr3:uid="{64524859-93F4-4196-9A0F-14F04639F60F}" name="Mal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59866-EF7E-4CE0-861B-0A8EC2F39CA1}" name="Table2" displayName="Table2" ref="A1:D30" totalsRowShown="0">
  <autoFilter ref="A1:D30" xr:uid="{EB159866-EF7E-4CE0-861B-0A8EC2F39CA1}"/>
  <tableColumns count="4">
    <tableColumn id="1" xr3:uid="{787BBEB0-549F-4EA6-B567-95528FF5C34E}" name="Village"/>
    <tableColumn id="2" xr3:uid="{5108279A-158B-4DD1-A0D5-BD64907F5985}" name="No of SAM  Children"/>
    <tableColumn id="3" xr3:uid="{D671FF95-12F1-44E3-B4D9-6B6FEF9927B3}" name="F"/>
    <tableColumn id="4" xr3:uid="{9362DBD9-6C26-42EF-9E12-C455E5FC2456}" name="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workbookViewId="0">
      <selection activeCell="F28" sqref="F28"/>
    </sheetView>
  </sheetViews>
  <sheetFormatPr defaultRowHeight="14.4" x14ac:dyDescent="0.3"/>
  <cols>
    <col min="1" max="1" width="5.88671875" bestFit="1" customWidth="1"/>
    <col min="2" max="2" width="19" customWidth="1"/>
    <col min="3" max="3" width="16.88671875" bestFit="1" customWidth="1"/>
    <col min="4" max="4" width="13.109375" customWidth="1"/>
    <col min="9" max="9" width="26.5546875" customWidth="1"/>
  </cols>
  <sheetData>
    <row r="1" spans="1:9" ht="31.5" customHeight="1" x14ac:dyDescent="0.3">
      <c r="A1" s="15" t="s">
        <v>105</v>
      </c>
      <c r="B1" s="15"/>
      <c r="C1" s="15"/>
      <c r="D1" s="15"/>
      <c r="I1" s="1"/>
    </row>
    <row r="2" spans="1:9" ht="31.2" x14ac:dyDescent="0.3">
      <c r="A2" s="2" t="s">
        <v>0</v>
      </c>
      <c r="B2" s="2" t="s">
        <v>1</v>
      </c>
      <c r="C2" s="2" t="s">
        <v>79</v>
      </c>
      <c r="D2" s="2" t="s">
        <v>2</v>
      </c>
    </row>
    <row r="3" spans="1:9" ht="23.25" customHeight="1" x14ac:dyDescent="0.3">
      <c r="A3" s="2">
        <v>1</v>
      </c>
      <c r="B3" s="2" t="s">
        <v>3</v>
      </c>
      <c r="C3" s="2" t="s">
        <v>80</v>
      </c>
      <c r="D3" s="2">
        <v>1</v>
      </c>
    </row>
    <row r="4" spans="1:9" ht="23.25" customHeight="1" x14ac:dyDescent="0.3">
      <c r="A4" s="2">
        <v>2</v>
      </c>
      <c r="B4" s="2" t="s">
        <v>4</v>
      </c>
      <c r="C4" s="2" t="s">
        <v>81</v>
      </c>
      <c r="D4" s="2">
        <v>1</v>
      </c>
    </row>
    <row r="5" spans="1:9" ht="23.25" customHeight="1" x14ac:dyDescent="0.3">
      <c r="A5" s="2">
        <v>3</v>
      </c>
      <c r="B5" s="2" t="s">
        <v>5</v>
      </c>
      <c r="C5" s="2" t="s">
        <v>82</v>
      </c>
      <c r="D5" s="2">
        <v>1</v>
      </c>
    </row>
    <row r="6" spans="1:9" ht="23.25" customHeight="1" x14ac:dyDescent="0.3">
      <c r="A6" s="2">
        <v>4</v>
      </c>
      <c r="B6" s="2" t="s">
        <v>6</v>
      </c>
      <c r="C6" s="5" t="s">
        <v>104</v>
      </c>
      <c r="D6" s="2">
        <v>0</v>
      </c>
    </row>
    <row r="7" spans="1:9" ht="23.25" customHeight="1" x14ac:dyDescent="0.3">
      <c r="A7" s="2">
        <v>5</v>
      </c>
      <c r="B7" s="2" t="s">
        <v>7</v>
      </c>
      <c r="C7" s="2" t="s">
        <v>96</v>
      </c>
      <c r="D7" s="2">
        <v>1</v>
      </c>
    </row>
    <row r="8" spans="1:9" ht="23.25" customHeight="1" x14ac:dyDescent="0.3">
      <c r="A8" s="15">
        <v>6</v>
      </c>
      <c r="B8" s="15" t="s">
        <v>8</v>
      </c>
      <c r="C8" s="2" t="s">
        <v>84</v>
      </c>
      <c r="D8" s="2">
        <v>3</v>
      </c>
    </row>
    <row r="9" spans="1:9" ht="23.25" customHeight="1" x14ac:dyDescent="0.3">
      <c r="A9" s="15"/>
      <c r="B9" s="15"/>
      <c r="C9" s="2" t="s">
        <v>95</v>
      </c>
      <c r="D9" s="2">
        <v>1</v>
      </c>
    </row>
    <row r="10" spans="1:9" ht="23.25" customHeight="1" x14ac:dyDescent="0.3">
      <c r="A10" s="2">
        <v>7</v>
      </c>
      <c r="B10" s="2" t="s">
        <v>9</v>
      </c>
      <c r="C10" s="5" t="s">
        <v>104</v>
      </c>
      <c r="D10" s="2">
        <v>0</v>
      </c>
    </row>
    <row r="11" spans="1:9" ht="23.25" customHeight="1" x14ac:dyDescent="0.3">
      <c r="A11" s="2">
        <v>8</v>
      </c>
      <c r="B11" s="2" t="s">
        <v>10</v>
      </c>
      <c r="C11" s="5" t="s">
        <v>104</v>
      </c>
      <c r="D11" s="2">
        <v>0</v>
      </c>
    </row>
    <row r="12" spans="1:9" ht="23.25" customHeight="1" x14ac:dyDescent="0.3">
      <c r="A12" s="2">
        <v>9</v>
      </c>
      <c r="B12" s="2" t="s">
        <v>11</v>
      </c>
      <c r="C12" s="2" t="s">
        <v>85</v>
      </c>
      <c r="D12" s="2">
        <v>1</v>
      </c>
    </row>
    <row r="13" spans="1:9" ht="23.25" customHeight="1" x14ac:dyDescent="0.3">
      <c r="A13" s="2">
        <v>10</v>
      </c>
      <c r="B13" s="2" t="s">
        <v>12</v>
      </c>
      <c r="C13" s="5" t="s">
        <v>104</v>
      </c>
      <c r="D13" s="2">
        <v>0</v>
      </c>
    </row>
    <row r="14" spans="1:9" ht="23.25" customHeight="1" x14ac:dyDescent="0.3">
      <c r="A14" s="2">
        <v>11</v>
      </c>
      <c r="B14" s="2" t="s">
        <v>13</v>
      </c>
      <c r="C14" s="5" t="s">
        <v>104</v>
      </c>
      <c r="D14" s="2">
        <v>0</v>
      </c>
    </row>
    <row r="15" spans="1:9" ht="23.25" customHeight="1" x14ac:dyDescent="0.3">
      <c r="A15" s="2">
        <v>12</v>
      </c>
      <c r="B15" s="2" t="s">
        <v>14</v>
      </c>
      <c r="C15" s="5" t="s">
        <v>104</v>
      </c>
      <c r="D15" s="2">
        <v>0</v>
      </c>
    </row>
    <row r="16" spans="1:9" ht="23.25" customHeight="1" x14ac:dyDescent="0.3">
      <c r="A16" s="2">
        <v>13</v>
      </c>
      <c r="B16" s="2" t="s">
        <v>15</v>
      </c>
      <c r="C16" s="5" t="s">
        <v>104</v>
      </c>
      <c r="D16" s="2">
        <v>0</v>
      </c>
    </row>
    <row r="17" spans="1:4" ht="23.25" customHeight="1" x14ac:dyDescent="0.3">
      <c r="A17" s="2">
        <v>14</v>
      </c>
      <c r="B17" s="2" t="s">
        <v>16</v>
      </c>
      <c r="C17" s="2" t="s">
        <v>16</v>
      </c>
      <c r="D17" s="2">
        <v>1</v>
      </c>
    </row>
    <row r="18" spans="1:4" ht="23.25" customHeight="1" x14ac:dyDescent="0.3">
      <c r="A18" s="2">
        <v>15</v>
      </c>
      <c r="B18" s="2" t="s">
        <v>17</v>
      </c>
      <c r="C18" s="5" t="s">
        <v>104</v>
      </c>
      <c r="D18" s="2">
        <v>0</v>
      </c>
    </row>
    <row r="19" spans="1:4" ht="23.25" customHeight="1" x14ac:dyDescent="0.3">
      <c r="A19" s="2">
        <v>16</v>
      </c>
      <c r="B19" s="2" t="s">
        <v>18</v>
      </c>
      <c r="C19" s="5" t="s">
        <v>104</v>
      </c>
      <c r="D19" s="2">
        <v>0</v>
      </c>
    </row>
    <row r="20" spans="1:4" ht="23.25" customHeight="1" x14ac:dyDescent="0.3">
      <c r="A20" s="2">
        <v>17</v>
      </c>
      <c r="B20" s="2" t="s">
        <v>19</v>
      </c>
      <c r="C20" s="5" t="s">
        <v>104</v>
      </c>
      <c r="D20" s="2">
        <v>0</v>
      </c>
    </row>
    <row r="21" spans="1:4" ht="23.25" customHeight="1" x14ac:dyDescent="0.3">
      <c r="A21" s="2">
        <v>18</v>
      </c>
      <c r="B21" s="2" t="s">
        <v>20</v>
      </c>
      <c r="C21" s="5" t="s">
        <v>104</v>
      </c>
      <c r="D21" s="2">
        <v>0</v>
      </c>
    </row>
    <row r="22" spans="1:4" ht="23.25" customHeight="1" x14ac:dyDescent="0.3">
      <c r="A22" s="2">
        <v>19</v>
      </c>
      <c r="B22" s="2" t="s">
        <v>21</v>
      </c>
      <c r="C22" s="5" t="s">
        <v>104</v>
      </c>
      <c r="D22" s="2">
        <v>0</v>
      </c>
    </row>
    <row r="23" spans="1:4" ht="23.25" customHeight="1" x14ac:dyDescent="0.3">
      <c r="A23" s="2">
        <v>20</v>
      </c>
      <c r="B23" s="2" t="s">
        <v>22</v>
      </c>
      <c r="C23" s="2" t="s">
        <v>100</v>
      </c>
      <c r="D23" s="2">
        <v>1</v>
      </c>
    </row>
    <row r="24" spans="1:4" ht="23.25" customHeight="1" x14ac:dyDescent="0.3">
      <c r="A24" s="2">
        <v>21</v>
      </c>
      <c r="B24" s="2" t="s">
        <v>23</v>
      </c>
      <c r="C24" s="5" t="s">
        <v>104</v>
      </c>
      <c r="D24" s="2">
        <v>0</v>
      </c>
    </row>
    <row r="25" spans="1:4" ht="23.25" customHeight="1" x14ac:dyDescent="0.3">
      <c r="A25" s="2">
        <v>22</v>
      </c>
      <c r="B25" s="2" t="s">
        <v>24</v>
      </c>
      <c r="C25" s="5" t="s">
        <v>104</v>
      </c>
      <c r="D25" s="2">
        <v>0</v>
      </c>
    </row>
    <row r="26" spans="1:4" ht="23.25" customHeight="1" x14ac:dyDescent="0.3">
      <c r="A26" s="2">
        <v>23</v>
      </c>
      <c r="B26" s="2" t="s">
        <v>25</v>
      </c>
      <c r="C26" s="5" t="s">
        <v>104</v>
      </c>
      <c r="D26" s="2">
        <v>0</v>
      </c>
    </row>
    <row r="27" spans="1:4" ht="23.25" customHeight="1" x14ac:dyDescent="0.3">
      <c r="A27" s="15">
        <v>24</v>
      </c>
      <c r="B27" s="15" t="s">
        <v>26</v>
      </c>
      <c r="C27" s="2" t="s">
        <v>98</v>
      </c>
      <c r="D27" s="2">
        <v>1</v>
      </c>
    </row>
    <row r="28" spans="1:4" ht="23.25" customHeight="1" x14ac:dyDescent="0.3">
      <c r="A28" s="15"/>
      <c r="B28" s="15"/>
      <c r="C28" s="2" t="s">
        <v>99</v>
      </c>
      <c r="D28" s="2">
        <v>1</v>
      </c>
    </row>
    <row r="29" spans="1:4" ht="23.25" customHeight="1" x14ac:dyDescent="0.3">
      <c r="A29" s="15">
        <v>25</v>
      </c>
      <c r="B29" s="15" t="s">
        <v>27</v>
      </c>
      <c r="C29" s="2" t="s">
        <v>97</v>
      </c>
      <c r="D29" s="2">
        <v>1</v>
      </c>
    </row>
    <row r="30" spans="1:4" ht="23.25" customHeight="1" x14ac:dyDescent="0.3">
      <c r="A30" s="15"/>
      <c r="B30" s="15"/>
      <c r="C30" s="2" t="s">
        <v>83</v>
      </c>
      <c r="D30" s="2">
        <v>1</v>
      </c>
    </row>
    <row r="31" spans="1:4" ht="23.25" customHeight="1" x14ac:dyDescent="0.3">
      <c r="A31" s="4">
        <v>26</v>
      </c>
      <c r="B31" s="4" t="s">
        <v>28</v>
      </c>
      <c r="C31" s="5" t="s">
        <v>104</v>
      </c>
      <c r="D31" s="2">
        <v>0</v>
      </c>
    </row>
    <row r="32" spans="1:4" ht="23.25" customHeight="1" x14ac:dyDescent="0.3">
      <c r="A32" s="4">
        <v>27</v>
      </c>
      <c r="B32" s="4" t="s">
        <v>29</v>
      </c>
      <c r="C32" s="5" t="s">
        <v>104</v>
      </c>
      <c r="D32" s="2">
        <v>0</v>
      </c>
    </row>
    <row r="33" spans="1:4" ht="23.25" customHeight="1" x14ac:dyDescent="0.3">
      <c r="A33" s="4">
        <v>28</v>
      </c>
      <c r="B33" s="4" t="s">
        <v>30</v>
      </c>
      <c r="C33" s="5" t="s">
        <v>104</v>
      </c>
      <c r="D33" s="2">
        <v>0</v>
      </c>
    </row>
    <row r="34" spans="1:4" ht="23.25" customHeight="1" x14ac:dyDescent="0.3">
      <c r="A34" s="13" t="s">
        <v>77</v>
      </c>
      <c r="B34" s="14"/>
      <c r="C34" s="3"/>
      <c r="D34" s="3">
        <f>SUM(D3:D33)</f>
        <v>15</v>
      </c>
    </row>
  </sheetData>
  <mergeCells count="8">
    <mergeCell ref="A34:B34"/>
    <mergeCell ref="A1:D1"/>
    <mergeCell ref="B29:B30"/>
    <mergeCell ref="A29:A30"/>
    <mergeCell ref="B27:B28"/>
    <mergeCell ref="A27:A28"/>
    <mergeCell ref="B8:B9"/>
    <mergeCell ref="A8:A9"/>
  </mergeCells>
  <pageMargins left="0.70866141732283472" right="0.70866141732283472" top="0.74803149606299213" bottom="0.74803149606299213" header="0.31496062992125984" footer="0.31496062992125984"/>
  <pageSetup paperSize="9" scale="9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1"/>
  <sheetViews>
    <sheetView workbookViewId="0">
      <selection activeCell="F28" sqref="F28"/>
    </sheetView>
  </sheetViews>
  <sheetFormatPr defaultColWidth="9.109375" defaultRowHeight="14.4" x14ac:dyDescent="0.3"/>
  <cols>
    <col min="1" max="1" width="5.88671875" bestFit="1" customWidth="1"/>
    <col min="2" max="2" width="16.44140625" bestFit="1" customWidth="1"/>
    <col min="3" max="3" width="15.88671875" bestFit="1" customWidth="1"/>
    <col min="4" max="4" width="13.109375" customWidth="1"/>
  </cols>
  <sheetData>
    <row r="1" spans="1:4" ht="27.75" customHeight="1" x14ac:dyDescent="0.3">
      <c r="A1" s="16" t="s">
        <v>105</v>
      </c>
      <c r="B1" s="16"/>
      <c r="C1" s="16"/>
      <c r="D1" s="16"/>
    </row>
    <row r="2" spans="1:4" ht="31.2" x14ac:dyDescent="0.3">
      <c r="A2" s="5" t="s">
        <v>0</v>
      </c>
      <c r="B2" s="5" t="s">
        <v>1</v>
      </c>
      <c r="C2" s="5" t="s">
        <v>79</v>
      </c>
      <c r="D2" s="5" t="s">
        <v>2</v>
      </c>
    </row>
    <row r="3" spans="1:4" ht="26.25" customHeight="1" x14ac:dyDescent="0.3">
      <c r="A3" s="5">
        <v>1</v>
      </c>
      <c r="B3" s="5" t="s">
        <v>31</v>
      </c>
      <c r="C3" s="5" t="s">
        <v>104</v>
      </c>
      <c r="D3" s="5">
        <v>0</v>
      </c>
    </row>
    <row r="4" spans="1:4" ht="26.25" customHeight="1" x14ac:dyDescent="0.3">
      <c r="A4" s="5">
        <v>2</v>
      </c>
      <c r="B4" s="5" t="s">
        <v>32</v>
      </c>
      <c r="C4" s="5" t="s">
        <v>104</v>
      </c>
      <c r="D4" s="5">
        <v>0</v>
      </c>
    </row>
    <row r="5" spans="1:4" ht="26.25" customHeight="1" x14ac:dyDescent="0.3">
      <c r="A5" s="5">
        <v>3</v>
      </c>
      <c r="B5" s="5" t="s">
        <v>33</v>
      </c>
      <c r="C5" s="5" t="s">
        <v>104</v>
      </c>
      <c r="D5" s="5">
        <v>0</v>
      </c>
    </row>
    <row r="6" spans="1:4" ht="26.25" customHeight="1" x14ac:dyDescent="0.3">
      <c r="A6" s="6">
        <v>4</v>
      </c>
      <c r="B6" s="6" t="s">
        <v>34</v>
      </c>
      <c r="C6" s="5" t="s">
        <v>104</v>
      </c>
      <c r="D6" s="5">
        <v>0</v>
      </c>
    </row>
    <row r="7" spans="1:4" ht="26.25" customHeight="1" x14ac:dyDescent="0.3">
      <c r="A7" s="6">
        <v>5</v>
      </c>
      <c r="B7" s="6" t="s">
        <v>35</v>
      </c>
      <c r="C7" s="5" t="s">
        <v>86</v>
      </c>
      <c r="D7" s="5">
        <v>1</v>
      </c>
    </row>
    <row r="8" spans="1:4" ht="26.25" customHeight="1" x14ac:dyDescent="0.3">
      <c r="A8" s="5">
        <v>6</v>
      </c>
      <c r="B8" s="5" t="s">
        <v>36</v>
      </c>
      <c r="C8" s="5" t="s">
        <v>101</v>
      </c>
      <c r="D8" s="5">
        <v>1</v>
      </c>
    </row>
    <row r="9" spans="1:4" ht="26.25" customHeight="1" x14ac:dyDescent="0.3">
      <c r="A9" s="5">
        <v>7</v>
      </c>
      <c r="B9" s="5" t="s">
        <v>37</v>
      </c>
      <c r="C9" s="5" t="s">
        <v>37</v>
      </c>
      <c r="D9" s="5">
        <v>2</v>
      </c>
    </row>
    <row r="10" spans="1:4" ht="26.25" customHeight="1" x14ac:dyDescent="0.3">
      <c r="A10" s="6">
        <v>8</v>
      </c>
      <c r="B10" s="6" t="s">
        <v>38</v>
      </c>
      <c r="C10" s="5" t="s">
        <v>104</v>
      </c>
      <c r="D10" s="5">
        <v>0</v>
      </c>
    </row>
    <row r="11" spans="1:4" ht="26.25" customHeight="1" x14ac:dyDescent="0.3">
      <c r="A11" s="5">
        <v>9</v>
      </c>
      <c r="B11" s="5" t="s">
        <v>39</v>
      </c>
      <c r="C11" s="5" t="s">
        <v>104</v>
      </c>
      <c r="D11" s="5">
        <v>0</v>
      </c>
    </row>
    <row r="12" spans="1:4" ht="26.25" customHeight="1" x14ac:dyDescent="0.3">
      <c r="A12" s="5">
        <v>10</v>
      </c>
      <c r="B12" s="5" t="s">
        <v>40</v>
      </c>
      <c r="C12" s="5" t="s">
        <v>104</v>
      </c>
      <c r="D12" s="5">
        <v>0</v>
      </c>
    </row>
    <row r="13" spans="1:4" ht="26.25" customHeight="1" x14ac:dyDescent="0.3">
      <c r="A13" s="5">
        <v>11</v>
      </c>
      <c r="B13" s="5" t="s">
        <v>41</v>
      </c>
      <c r="C13" s="5" t="s">
        <v>104</v>
      </c>
      <c r="D13" s="5">
        <v>0</v>
      </c>
    </row>
    <row r="14" spans="1:4" ht="26.25" customHeight="1" x14ac:dyDescent="0.3">
      <c r="A14" s="5">
        <v>12</v>
      </c>
      <c r="B14" s="5" t="s">
        <v>42</v>
      </c>
      <c r="C14" s="5" t="s">
        <v>104</v>
      </c>
      <c r="D14" s="5">
        <v>0</v>
      </c>
    </row>
    <row r="15" spans="1:4" ht="26.25" customHeight="1" x14ac:dyDescent="0.3">
      <c r="A15" s="5">
        <v>13</v>
      </c>
      <c r="B15" s="6" t="s">
        <v>43</v>
      </c>
      <c r="C15" s="5" t="s">
        <v>104</v>
      </c>
      <c r="D15" s="5">
        <v>0</v>
      </c>
    </row>
    <row r="16" spans="1:4" ht="26.25" customHeight="1" x14ac:dyDescent="0.3">
      <c r="A16" s="5">
        <v>14</v>
      </c>
      <c r="B16" s="5" t="s">
        <v>44</v>
      </c>
      <c r="C16" s="5" t="s">
        <v>104</v>
      </c>
      <c r="D16" s="5">
        <v>0</v>
      </c>
    </row>
    <row r="17" spans="1:4" ht="26.25" customHeight="1" x14ac:dyDescent="0.3">
      <c r="A17" s="6">
        <v>15</v>
      </c>
      <c r="B17" s="6" t="s">
        <v>45</v>
      </c>
      <c r="C17" s="5" t="s">
        <v>87</v>
      </c>
      <c r="D17" s="5">
        <v>1</v>
      </c>
    </row>
    <row r="18" spans="1:4" ht="26.25" customHeight="1" x14ac:dyDescent="0.3">
      <c r="A18" s="6">
        <v>16</v>
      </c>
      <c r="B18" s="6" t="s">
        <v>46</v>
      </c>
      <c r="C18" s="5" t="s">
        <v>104</v>
      </c>
      <c r="D18" s="5">
        <v>0</v>
      </c>
    </row>
    <row r="19" spans="1:4" ht="26.25" customHeight="1" x14ac:dyDescent="0.3">
      <c r="A19" s="5">
        <v>17</v>
      </c>
      <c r="B19" s="5" t="s">
        <v>47</v>
      </c>
      <c r="C19" s="5" t="s">
        <v>104</v>
      </c>
      <c r="D19" s="5">
        <v>0</v>
      </c>
    </row>
    <row r="20" spans="1:4" ht="26.25" customHeight="1" x14ac:dyDescent="0.3">
      <c r="A20" s="19">
        <v>18</v>
      </c>
      <c r="B20" s="19" t="s">
        <v>48</v>
      </c>
      <c r="C20" s="5" t="s">
        <v>88</v>
      </c>
      <c r="D20" s="5">
        <v>2</v>
      </c>
    </row>
    <row r="21" spans="1:4" ht="26.25" customHeight="1" x14ac:dyDescent="0.3">
      <c r="A21" s="20"/>
      <c r="B21" s="20"/>
      <c r="C21" s="5" t="s">
        <v>102</v>
      </c>
      <c r="D21" s="5">
        <v>1</v>
      </c>
    </row>
    <row r="22" spans="1:4" ht="26.25" customHeight="1" x14ac:dyDescent="0.3">
      <c r="A22" s="6">
        <v>19</v>
      </c>
      <c r="B22" s="6" t="s">
        <v>49</v>
      </c>
      <c r="C22" s="5" t="s">
        <v>104</v>
      </c>
      <c r="D22" s="5">
        <v>0</v>
      </c>
    </row>
    <row r="23" spans="1:4" ht="26.25" customHeight="1" x14ac:dyDescent="0.3">
      <c r="A23" s="6">
        <v>20</v>
      </c>
      <c r="B23" s="6" t="s">
        <v>50</v>
      </c>
      <c r="C23" s="6" t="s">
        <v>50</v>
      </c>
      <c r="D23" s="5">
        <v>1</v>
      </c>
    </row>
    <row r="24" spans="1:4" ht="26.25" customHeight="1" x14ac:dyDescent="0.3">
      <c r="A24" s="6">
        <v>21</v>
      </c>
      <c r="B24" s="6" t="s">
        <v>51</v>
      </c>
      <c r="C24" s="5" t="s">
        <v>89</v>
      </c>
      <c r="D24" s="5">
        <v>2</v>
      </c>
    </row>
    <row r="25" spans="1:4" ht="26.25" customHeight="1" x14ac:dyDescent="0.3">
      <c r="A25" s="6">
        <v>22</v>
      </c>
      <c r="B25" s="6" t="s">
        <v>52</v>
      </c>
      <c r="C25" s="5" t="s">
        <v>104</v>
      </c>
      <c r="D25" s="5">
        <v>0</v>
      </c>
    </row>
    <row r="26" spans="1:4" ht="26.25" customHeight="1" x14ac:dyDescent="0.3">
      <c r="A26" s="5">
        <v>23</v>
      </c>
      <c r="B26" s="5" t="s">
        <v>53</v>
      </c>
      <c r="C26" s="5" t="s">
        <v>104</v>
      </c>
      <c r="D26" s="5">
        <v>0</v>
      </c>
    </row>
    <row r="27" spans="1:4" ht="26.25" customHeight="1" x14ac:dyDescent="0.3">
      <c r="A27" s="6">
        <v>24</v>
      </c>
      <c r="B27" s="6" t="s">
        <v>54</v>
      </c>
      <c r="C27" s="6" t="s">
        <v>54</v>
      </c>
      <c r="D27" s="5">
        <v>2</v>
      </c>
    </row>
    <row r="28" spans="1:4" ht="26.25" customHeight="1" x14ac:dyDescent="0.3">
      <c r="A28" s="19">
        <v>25</v>
      </c>
      <c r="B28" s="19" t="s">
        <v>55</v>
      </c>
      <c r="C28" s="6" t="s">
        <v>90</v>
      </c>
      <c r="D28" s="5">
        <v>1</v>
      </c>
    </row>
    <row r="29" spans="1:4" ht="26.25" customHeight="1" x14ac:dyDescent="0.3">
      <c r="A29" s="20"/>
      <c r="B29" s="20"/>
      <c r="C29" s="5" t="s">
        <v>91</v>
      </c>
      <c r="D29" s="5">
        <v>1</v>
      </c>
    </row>
    <row r="30" spans="1:4" ht="26.25" customHeight="1" x14ac:dyDescent="0.3">
      <c r="A30" s="6">
        <v>26</v>
      </c>
      <c r="B30" s="5" t="s">
        <v>92</v>
      </c>
      <c r="C30" s="5" t="s">
        <v>104</v>
      </c>
      <c r="D30" s="7">
        <v>0</v>
      </c>
    </row>
    <row r="31" spans="1:4" ht="26.25" customHeight="1" x14ac:dyDescent="0.3">
      <c r="A31" s="17" t="s">
        <v>56</v>
      </c>
      <c r="B31" s="18"/>
      <c r="C31" s="8"/>
      <c r="D31" s="9">
        <f>SUM(D3:D30)</f>
        <v>15</v>
      </c>
    </row>
  </sheetData>
  <mergeCells count="6">
    <mergeCell ref="A1:D1"/>
    <mergeCell ref="A31:B31"/>
    <mergeCell ref="B20:B21"/>
    <mergeCell ref="A20:A21"/>
    <mergeCell ref="B28:B29"/>
    <mergeCell ref="A28:A29"/>
  </mergeCells>
  <pageMargins left="0.70866141732283472" right="0.70866141732283472" top="0.74803149606299213" bottom="0.74803149606299213" header="0.31496062992125984" footer="0.31496062992125984"/>
  <pageSetup paperSize="9" scale="9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F28" sqref="F28"/>
    </sheetView>
  </sheetViews>
  <sheetFormatPr defaultRowHeight="14.4" x14ac:dyDescent="0.3"/>
  <cols>
    <col min="1" max="1" width="5.88671875" bestFit="1" customWidth="1"/>
    <col min="2" max="2" width="20.88671875" customWidth="1"/>
    <col min="3" max="3" width="10.44140625" customWidth="1"/>
    <col min="4" max="4" width="11" customWidth="1"/>
  </cols>
  <sheetData>
    <row r="1" spans="1:4" ht="26.25" customHeight="1" x14ac:dyDescent="0.3">
      <c r="A1" s="15" t="s">
        <v>105</v>
      </c>
      <c r="B1" s="15"/>
      <c r="C1" s="15"/>
      <c r="D1" s="15"/>
    </row>
    <row r="2" spans="1:4" ht="31.2" x14ac:dyDescent="0.3">
      <c r="A2" s="2" t="s">
        <v>0</v>
      </c>
      <c r="B2" s="2" t="s">
        <v>1</v>
      </c>
      <c r="C2" s="2" t="s">
        <v>79</v>
      </c>
      <c r="D2" s="2" t="s">
        <v>76</v>
      </c>
    </row>
    <row r="3" spans="1:4" ht="23.25" customHeight="1" x14ac:dyDescent="0.3">
      <c r="A3" s="2">
        <v>1</v>
      </c>
      <c r="B3" s="2" t="s">
        <v>57</v>
      </c>
      <c r="C3" s="5" t="s">
        <v>104</v>
      </c>
      <c r="D3" s="2">
        <v>0</v>
      </c>
    </row>
    <row r="4" spans="1:4" ht="23.25" customHeight="1" x14ac:dyDescent="0.3">
      <c r="A4" s="2">
        <v>2</v>
      </c>
      <c r="B4" s="2" t="s">
        <v>58</v>
      </c>
      <c r="C4" s="5" t="s">
        <v>104</v>
      </c>
      <c r="D4" s="2">
        <v>0</v>
      </c>
    </row>
    <row r="5" spans="1:4" ht="23.25" customHeight="1" x14ac:dyDescent="0.3">
      <c r="A5" s="2">
        <v>3</v>
      </c>
      <c r="B5" s="2" t="s">
        <v>59</v>
      </c>
      <c r="C5" s="5" t="s">
        <v>104</v>
      </c>
      <c r="D5" s="2">
        <v>0</v>
      </c>
    </row>
    <row r="6" spans="1:4" ht="23.25" customHeight="1" x14ac:dyDescent="0.3">
      <c r="A6" s="2">
        <v>4</v>
      </c>
      <c r="B6" s="2" t="s">
        <v>60</v>
      </c>
      <c r="C6" s="5" t="s">
        <v>104</v>
      </c>
      <c r="D6" s="2">
        <v>0</v>
      </c>
    </row>
    <row r="7" spans="1:4" ht="23.25" customHeight="1" x14ac:dyDescent="0.3">
      <c r="A7" s="2">
        <v>5</v>
      </c>
      <c r="B7" s="2" t="s">
        <v>61</v>
      </c>
      <c r="C7" s="2" t="s">
        <v>93</v>
      </c>
      <c r="D7" s="2">
        <v>1</v>
      </c>
    </row>
    <row r="8" spans="1:4" ht="23.25" customHeight="1" x14ac:dyDescent="0.3">
      <c r="A8" s="2">
        <v>6</v>
      </c>
      <c r="B8" s="2" t="s">
        <v>62</v>
      </c>
      <c r="C8" s="5" t="s">
        <v>104</v>
      </c>
      <c r="D8" s="2">
        <v>0</v>
      </c>
    </row>
    <row r="9" spans="1:4" ht="23.25" customHeight="1" x14ac:dyDescent="0.3">
      <c r="A9" s="2">
        <v>7</v>
      </c>
      <c r="B9" s="2" t="s">
        <v>63</v>
      </c>
      <c r="C9" s="5" t="s">
        <v>104</v>
      </c>
      <c r="D9" s="2">
        <v>0</v>
      </c>
    </row>
    <row r="10" spans="1:4" ht="23.25" customHeight="1" x14ac:dyDescent="0.3">
      <c r="A10" s="2">
        <v>8</v>
      </c>
      <c r="B10" s="2" t="s">
        <v>64</v>
      </c>
      <c r="C10" s="2" t="s">
        <v>64</v>
      </c>
      <c r="D10" s="2">
        <v>1</v>
      </c>
    </row>
    <row r="11" spans="1:4" ht="23.25" customHeight="1" x14ac:dyDescent="0.3">
      <c r="A11" s="2">
        <v>9</v>
      </c>
      <c r="B11" s="2" t="s">
        <v>65</v>
      </c>
      <c r="C11" s="5" t="s">
        <v>104</v>
      </c>
      <c r="D11" s="2">
        <v>0</v>
      </c>
    </row>
    <row r="12" spans="1:4" ht="23.25" customHeight="1" x14ac:dyDescent="0.3">
      <c r="A12" s="2">
        <v>10</v>
      </c>
      <c r="B12" s="2" t="s">
        <v>66</v>
      </c>
      <c r="C12" s="5" t="s">
        <v>104</v>
      </c>
      <c r="D12" s="2">
        <v>0</v>
      </c>
    </row>
    <row r="13" spans="1:4" ht="23.25" customHeight="1" x14ac:dyDescent="0.3">
      <c r="A13" s="2">
        <v>11</v>
      </c>
      <c r="B13" s="2" t="s">
        <v>67</v>
      </c>
      <c r="C13" s="5" t="s">
        <v>104</v>
      </c>
      <c r="D13" s="2">
        <v>0</v>
      </c>
    </row>
    <row r="14" spans="1:4" ht="23.25" customHeight="1" x14ac:dyDescent="0.3">
      <c r="A14" s="2">
        <v>12</v>
      </c>
      <c r="B14" s="2" t="s">
        <v>68</v>
      </c>
      <c r="C14" s="2" t="s">
        <v>68</v>
      </c>
      <c r="D14" s="2">
        <v>1</v>
      </c>
    </row>
    <row r="15" spans="1:4" ht="23.25" customHeight="1" x14ac:dyDescent="0.3">
      <c r="A15" s="2">
        <v>13</v>
      </c>
      <c r="B15" s="2" t="s">
        <v>69</v>
      </c>
      <c r="C15" s="5" t="s">
        <v>104</v>
      </c>
      <c r="D15" s="2">
        <v>0</v>
      </c>
    </row>
    <row r="16" spans="1:4" ht="23.25" customHeight="1" x14ac:dyDescent="0.3">
      <c r="A16" s="2">
        <v>14</v>
      </c>
      <c r="B16" s="2" t="s">
        <v>70</v>
      </c>
      <c r="C16" s="5" t="s">
        <v>104</v>
      </c>
      <c r="D16" s="2">
        <v>0</v>
      </c>
    </row>
    <row r="17" spans="1:4" ht="23.25" customHeight="1" x14ac:dyDescent="0.3">
      <c r="A17" s="2">
        <v>15</v>
      </c>
      <c r="B17" s="2" t="s">
        <v>71</v>
      </c>
      <c r="C17" s="5" t="s">
        <v>104</v>
      </c>
      <c r="D17" s="2">
        <v>0</v>
      </c>
    </row>
    <row r="18" spans="1:4" ht="23.25" customHeight="1" x14ac:dyDescent="0.3">
      <c r="A18" s="2">
        <v>16</v>
      </c>
      <c r="B18" s="2" t="s">
        <v>72</v>
      </c>
      <c r="C18" s="5" t="s">
        <v>104</v>
      </c>
      <c r="D18" s="2">
        <v>0</v>
      </c>
    </row>
    <row r="19" spans="1:4" ht="23.25" customHeight="1" x14ac:dyDescent="0.3">
      <c r="A19" s="21">
        <v>17</v>
      </c>
      <c r="B19" s="21" t="s">
        <v>73</v>
      </c>
      <c r="C19" s="4" t="s">
        <v>103</v>
      </c>
      <c r="D19" s="2">
        <v>1</v>
      </c>
    </row>
    <row r="20" spans="1:4" ht="23.25" customHeight="1" x14ac:dyDescent="0.3">
      <c r="A20" s="22"/>
      <c r="B20" s="22"/>
      <c r="C20" s="4" t="s">
        <v>94</v>
      </c>
      <c r="D20" s="2">
        <v>1</v>
      </c>
    </row>
    <row r="21" spans="1:4" ht="23.25" customHeight="1" x14ac:dyDescent="0.3">
      <c r="A21" s="4">
        <v>18</v>
      </c>
      <c r="B21" s="4" t="s">
        <v>74</v>
      </c>
      <c r="C21" s="5" t="s">
        <v>104</v>
      </c>
      <c r="D21" s="2">
        <v>0</v>
      </c>
    </row>
    <row r="22" spans="1:4" ht="23.25" customHeight="1" x14ac:dyDescent="0.3">
      <c r="A22" s="2">
        <v>19</v>
      </c>
      <c r="B22" s="2" t="s">
        <v>75</v>
      </c>
      <c r="C22" s="5" t="s">
        <v>104</v>
      </c>
      <c r="D22" s="2">
        <v>0</v>
      </c>
    </row>
    <row r="23" spans="1:4" ht="23.25" customHeight="1" x14ac:dyDescent="0.3">
      <c r="A23" s="13" t="s">
        <v>78</v>
      </c>
      <c r="B23" s="14"/>
      <c r="C23" s="3"/>
      <c r="D23" s="3">
        <f>SUM(D3:D22)</f>
        <v>5</v>
      </c>
    </row>
  </sheetData>
  <mergeCells count="4">
    <mergeCell ref="A1:D1"/>
    <mergeCell ref="A23:B23"/>
    <mergeCell ref="B19:B20"/>
    <mergeCell ref="A19:A20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22E8-441C-40C7-ADED-66F382A8DCE4}">
  <dimension ref="A1"/>
  <sheetViews>
    <sheetView tabSelected="1" zoomScale="90" zoomScaleNormal="90" workbookViewId="0">
      <selection activeCell="W54" sqref="W54"/>
    </sheetView>
  </sheetViews>
  <sheetFormatPr defaultRowHeight="14.4" x14ac:dyDescent="0.3"/>
  <cols>
    <col min="1" max="16384" width="8.88671875" style="12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9DFD-A517-4823-8B47-A2DF493746A0}">
  <dimension ref="A1:N24"/>
  <sheetViews>
    <sheetView topLeftCell="A13" workbookViewId="0">
      <selection activeCell="D24" sqref="D24"/>
    </sheetView>
  </sheetViews>
  <sheetFormatPr defaultRowHeight="14.4" x14ac:dyDescent="0.3"/>
  <cols>
    <col min="1" max="1" width="5.88671875" bestFit="1" customWidth="1"/>
    <col min="2" max="2" width="20.88671875" customWidth="1"/>
    <col min="3" max="3" width="10.44140625" customWidth="1"/>
    <col min="4" max="4" width="11" customWidth="1"/>
    <col min="13" max="13" width="7" bestFit="1" customWidth="1"/>
    <col min="14" max="15" width="5.21875" bestFit="1" customWidth="1"/>
  </cols>
  <sheetData>
    <row r="1" spans="1:14" ht="26.25" customHeight="1" x14ac:dyDescent="0.3">
      <c r="A1" s="23" t="s">
        <v>105</v>
      </c>
      <c r="B1" s="23"/>
      <c r="C1" s="23"/>
      <c r="D1" s="23"/>
    </row>
    <row r="2" spans="1:14" x14ac:dyDescent="0.3">
      <c r="A2" t="s">
        <v>0</v>
      </c>
      <c r="B2" t="s">
        <v>1</v>
      </c>
      <c r="C2" t="s">
        <v>79</v>
      </c>
      <c r="D2" t="s">
        <v>76</v>
      </c>
      <c r="E2" t="s">
        <v>108</v>
      </c>
      <c r="F2" t="s">
        <v>109</v>
      </c>
      <c r="I2" t="s">
        <v>79</v>
      </c>
      <c r="J2" t="s">
        <v>106</v>
      </c>
      <c r="K2" t="s">
        <v>107</v>
      </c>
      <c r="M2" t="s">
        <v>108</v>
      </c>
      <c r="N2" t="s">
        <v>109</v>
      </c>
    </row>
    <row r="3" spans="1:14" ht="23.25" customHeight="1" x14ac:dyDescent="0.3">
      <c r="A3">
        <v>1</v>
      </c>
      <c r="B3" t="s">
        <v>57</v>
      </c>
      <c r="C3" t="s">
        <v>104</v>
      </c>
      <c r="D3">
        <v>0</v>
      </c>
      <c r="E3">
        <v>0</v>
      </c>
      <c r="F3">
        <v>0</v>
      </c>
      <c r="I3" t="s">
        <v>93</v>
      </c>
      <c r="J3">
        <v>0</v>
      </c>
      <c r="K3">
        <v>1</v>
      </c>
      <c r="M3">
        <v>1</v>
      </c>
      <c r="N3">
        <v>4</v>
      </c>
    </row>
    <row r="4" spans="1:14" ht="23.25" customHeight="1" x14ac:dyDescent="0.3">
      <c r="A4">
        <v>2</v>
      </c>
      <c r="B4" t="s">
        <v>58</v>
      </c>
      <c r="C4" t="s">
        <v>104</v>
      </c>
      <c r="D4">
        <v>0</v>
      </c>
      <c r="E4">
        <v>0</v>
      </c>
      <c r="F4">
        <v>0</v>
      </c>
      <c r="I4" t="s">
        <v>64</v>
      </c>
      <c r="J4">
        <v>0</v>
      </c>
      <c r="K4">
        <v>1</v>
      </c>
    </row>
    <row r="5" spans="1:14" ht="23.25" customHeight="1" x14ac:dyDescent="0.3">
      <c r="A5">
        <v>3</v>
      </c>
      <c r="B5" t="s">
        <v>59</v>
      </c>
      <c r="C5" t="s">
        <v>104</v>
      </c>
      <c r="D5">
        <v>0</v>
      </c>
      <c r="E5">
        <v>0</v>
      </c>
      <c r="F5">
        <v>0</v>
      </c>
      <c r="I5" t="s">
        <v>68</v>
      </c>
      <c r="J5">
        <v>0</v>
      </c>
      <c r="K5">
        <v>1</v>
      </c>
    </row>
    <row r="6" spans="1:14" ht="23.25" customHeight="1" x14ac:dyDescent="0.3">
      <c r="A6">
        <v>4</v>
      </c>
      <c r="B6" t="s">
        <v>60</v>
      </c>
      <c r="C6" t="s">
        <v>104</v>
      </c>
      <c r="D6">
        <v>0</v>
      </c>
      <c r="E6">
        <v>0</v>
      </c>
      <c r="F6">
        <v>0</v>
      </c>
      <c r="I6" t="s">
        <v>103</v>
      </c>
      <c r="J6">
        <v>0</v>
      </c>
      <c r="K6">
        <v>1</v>
      </c>
      <c r="M6" t="s">
        <v>112</v>
      </c>
      <c r="N6">
        <v>4</v>
      </c>
    </row>
    <row r="7" spans="1:14" ht="23.25" customHeight="1" x14ac:dyDescent="0.3">
      <c r="A7">
        <v>5</v>
      </c>
      <c r="B7" t="s">
        <v>61</v>
      </c>
      <c r="C7" t="s">
        <v>93</v>
      </c>
      <c r="D7">
        <v>1</v>
      </c>
      <c r="E7">
        <v>0</v>
      </c>
      <c r="F7">
        <v>1</v>
      </c>
      <c r="I7" t="s">
        <v>94</v>
      </c>
      <c r="J7">
        <v>1</v>
      </c>
      <c r="K7">
        <v>0</v>
      </c>
      <c r="M7" t="s">
        <v>108</v>
      </c>
      <c r="N7">
        <v>1</v>
      </c>
    </row>
    <row r="8" spans="1:14" ht="23.25" customHeight="1" x14ac:dyDescent="0.3">
      <c r="A8">
        <v>6</v>
      </c>
      <c r="B8" t="s">
        <v>62</v>
      </c>
      <c r="C8" t="s">
        <v>104</v>
      </c>
      <c r="D8">
        <v>0</v>
      </c>
      <c r="E8">
        <v>0</v>
      </c>
      <c r="F8">
        <v>0</v>
      </c>
    </row>
    <row r="9" spans="1:14" ht="23.25" customHeight="1" x14ac:dyDescent="0.3">
      <c r="A9">
        <v>7</v>
      </c>
      <c r="B9" t="s">
        <v>63</v>
      </c>
      <c r="C9" t="s">
        <v>104</v>
      </c>
      <c r="D9">
        <v>0</v>
      </c>
      <c r="E9">
        <v>0</v>
      </c>
      <c r="F9">
        <v>0</v>
      </c>
    </row>
    <row r="10" spans="1:14" ht="23.25" customHeight="1" x14ac:dyDescent="0.3">
      <c r="A10">
        <v>8</v>
      </c>
      <c r="B10" t="s">
        <v>64</v>
      </c>
      <c r="C10" t="s">
        <v>64</v>
      </c>
      <c r="D10">
        <v>1</v>
      </c>
      <c r="E10">
        <v>0</v>
      </c>
      <c r="F10">
        <v>1</v>
      </c>
    </row>
    <row r="11" spans="1:14" ht="23.25" customHeight="1" x14ac:dyDescent="0.3">
      <c r="A11">
        <v>9</v>
      </c>
      <c r="B11" t="s">
        <v>65</v>
      </c>
      <c r="C11" t="s">
        <v>104</v>
      </c>
      <c r="D11">
        <v>0</v>
      </c>
      <c r="E11">
        <v>0</v>
      </c>
      <c r="F11">
        <v>0</v>
      </c>
    </row>
    <row r="12" spans="1:14" ht="23.25" customHeight="1" x14ac:dyDescent="0.3">
      <c r="A12">
        <v>10</v>
      </c>
      <c r="B12" t="s">
        <v>66</v>
      </c>
      <c r="C12" t="s">
        <v>104</v>
      </c>
      <c r="D12">
        <v>0</v>
      </c>
      <c r="E12">
        <v>0</v>
      </c>
      <c r="F12">
        <v>0</v>
      </c>
    </row>
    <row r="13" spans="1:14" ht="23.25" customHeight="1" x14ac:dyDescent="0.3">
      <c r="A13">
        <v>11</v>
      </c>
      <c r="B13" t="s">
        <v>67</v>
      </c>
      <c r="C13" t="s">
        <v>104</v>
      </c>
      <c r="D13">
        <v>0</v>
      </c>
      <c r="E13">
        <v>0</v>
      </c>
      <c r="F13">
        <v>0</v>
      </c>
    </row>
    <row r="14" spans="1:14" ht="23.25" customHeight="1" x14ac:dyDescent="0.3">
      <c r="A14">
        <v>12</v>
      </c>
      <c r="B14" t="s">
        <v>68</v>
      </c>
      <c r="C14" t="s">
        <v>68</v>
      </c>
      <c r="D14">
        <v>1</v>
      </c>
      <c r="E14">
        <v>0</v>
      </c>
      <c r="F14">
        <v>1</v>
      </c>
    </row>
    <row r="15" spans="1:14" ht="23.25" customHeight="1" x14ac:dyDescent="0.3">
      <c r="A15">
        <v>13</v>
      </c>
      <c r="B15" t="s">
        <v>69</v>
      </c>
      <c r="C15" t="s">
        <v>104</v>
      </c>
      <c r="D15">
        <v>0</v>
      </c>
      <c r="E15">
        <v>0</v>
      </c>
      <c r="F15">
        <v>0</v>
      </c>
    </row>
    <row r="16" spans="1:14" ht="23.25" customHeight="1" x14ac:dyDescent="0.3">
      <c r="A16">
        <v>14</v>
      </c>
      <c r="B16" t="s">
        <v>70</v>
      </c>
      <c r="C16" t="s">
        <v>104</v>
      </c>
      <c r="D16">
        <v>0</v>
      </c>
      <c r="E16">
        <v>0</v>
      </c>
      <c r="F16">
        <v>0</v>
      </c>
    </row>
    <row r="17" spans="1:6" ht="23.25" customHeight="1" x14ac:dyDescent="0.3">
      <c r="A17">
        <v>15</v>
      </c>
      <c r="B17" t="s">
        <v>71</v>
      </c>
      <c r="C17" t="s">
        <v>104</v>
      </c>
      <c r="D17">
        <v>0</v>
      </c>
      <c r="E17">
        <v>0</v>
      </c>
      <c r="F17">
        <v>0</v>
      </c>
    </row>
    <row r="18" spans="1:6" ht="23.25" customHeight="1" x14ac:dyDescent="0.3">
      <c r="A18">
        <v>16</v>
      </c>
      <c r="B18" t="s">
        <v>72</v>
      </c>
      <c r="C18" t="s">
        <v>104</v>
      </c>
      <c r="D18">
        <v>0</v>
      </c>
      <c r="E18">
        <v>0</v>
      </c>
      <c r="F18">
        <v>0</v>
      </c>
    </row>
    <row r="19" spans="1:6" ht="23.25" customHeight="1" x14ac:dyDescent="0.3">
      <c r="A19" s="23">
        <v>17</v>
      </c>
      <c r="B19" s="23" t="s">
        <v>73</v>
      </c>
      <c r="C19" t="s">
        <v>103</v>
      </c>
      <c r="D19">
        <v>1</v>
      </c>
      <c r="E19">
        <v>0</v>
      </c>
      <c r="F19">
        <v>1</v>
      </c>
    </row>
    <row r="20" spans="1:6" ht="23.25" customHeight="1" x14ac:dyDescent="0.3">
      <c r="A20" s="23"/>
      <c r="B20" s="23"/>
      <c r="C20" t="s">
        <v>94</v>
      </c>
      <c r="D20">
        <v>1</v>
      </c>
      <c r="E20">
        <v>1</v>
      </c>
      <c r="F20">
        <v>0</v>
      </c>
    </row>
    <row r="21" spans="1:6" ht="23.25" customHeight="1" x14ac:dyDescent="0.3">
      <c r="A21">
        <v>18</v>
      </c>
      <c r="B21" t="s">
        <v>74</v>
      </c>
      <c r="C21" t="s">
        <v>104</v>
      </c>
      <c r="D21">
        <v>0</v>
      </c>
      <c r="E21">
        <v>0</v>
      </c>
      <c r="F21">
        <v>0</v>
      </c>
    </row>
    <row r="22" spans="1:6" ht="23.25" customHeight="1" x14ac:dyDescent="0.3">
      <c r="A22">
        <v>19</v>
      </c>
      <c r="B22" t="s">
        <v>75</v>
      </c>
      <c r="C22" t="s">
        <v>104</v>
      </c>
      <c r="D22">
        <v>0</v>
      </c>
      <c r="E22">
        <v>0</v>
      </c>
      <c r="F22">
        <v>0</v>
      </c>
    </row>
    <row r="23" spans="1:6" ht="23.25" customHeight="1" x14ac:dyDescent="0.3"/>
    <row r="24" spans="1:6" ht="23.25" customHeight="1" x14ac:dyDescent="0.3">
      <c r="A24" s="23" t="s">
        <v>78</v>
      </c>
      <c r="B24" s="23"/>
      <c r="C24">
        <v>0</v>
      </c>
      <c r="D24">
        <f>SUM(D3:D22)</f>
        <v>5</v>
      </c>
      <c r="E24">
        <f>SUM(E3:E22)</f>
        <v>1</v>
      </c>
      <c r="F24">
        <f>SUM(F3:F22)</f>
        <v>4</v>
      </c>
    </row>
  </sheetData>
  <mergeCells count="4">
    <mergeCell ref="A1:D1"/>
    <mergeCell ref="A19:A20"/>
    <mergeCell ref="B19:B20"/>
    <mergeCell ref="A24:B24"/>
  </mergeCell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9425-B323-409E-9401-7BDD45D5DF08}">
  <sheetPr>
    <pageSetUpPr fitToPage="1"/>
  </sheetPr>
  <dimension ref="A1:N32"/>
  <sheetViews>
    <sheetView topLeftCell="A24" workbookViewId="0">
      <selection activeCell="G43" sqref="G43"/>
    </sheetView>
  </sheetViews>
  <sheetFormatPr defaultColWidth="9.109375" defaultRowHeight="14.4" x14ac:dyDescent="0.3"/>
  <cols>
    <col min="1" max="1" width="5.88671875" bestFit="1" customWidth="1"/>
    <col min="2" max="2" width="16.44140625" bestFit="1" customWidth="1"/>
    <col min="3" max="3" width="15.88671875" bestFit="1" customWidth="1"/>
    <col min="4" max="4" width="22.88671875" customWidth="1"/>
    <col min="8" max="8" width="8.33203125" customWidth="1"/>
    <col min="12" max="12" width="12.5546875" bestFit="1" customWidth="1"/>
    <col min="13" max="13" width="7" bestFit="1" customWidth="1"/>
    <col min="14" max="15" width="5.21875" bestFit="1" customWidth="1"/>
  </cols>
  <sheetData>
    <row r="1" spans="1:14" ht="27.75" customHeight="1" x14ac:dyDescent="0.3">
      <c r="A1" s="23" t="s">
        <v>105</v>
      </c>
      <c r="B1" s="23"/>
      <c r="C1" s="23"/>
      <c r="D1" s="23"/>
    </row>
    <row r="2" spans="1:14" x14ac:dyDescent="0.3">
      <c r="A2" t="s">
        <v>0</v>
      </c>
      <c r="B2" t="s">
        <v>1</v>
      </c>
      <c r="C2" t="s">
        <v>79</v>
      </c>
      <c r="D2" t="s">
        <v>2</v>
      </c>
      <c r="E2" t="s">
        <v>108</v>
      </c>
      <c r="F2" t="s">
        <v>109</v>
      </c>
      <c r="I2" t="s">
        <v>79</v>
      </c>
      <c r="J2" t="s">
        <v>106</v>
      </c>
      <c r="K2" t="s">
        <v>107</v>
      </c>
      <c r="M2" t="s">
        <v>108</v>
      </c>
      <c r="N2" t="s">
        <v>109</v>
      </c>
    </row>
    <row r="3" spans="1:14" ht="26.25" customHeight="1" x14ac:dyDescent="0.3">
      <c r="A3">
        <v>1</v>
      </c>
      <c r="B3" t="s">
        <v>31</v>
      </c>
      <c r="C3" t="s">
        <v>104</v>
      </c>
      <c r="D3">
        <v>0</v>
      </c>
      <c r="E3">
        <v>0</v>
      </c>
      <c r="F3">
        <v>0</v>
      </c>
      <c r="I3" t="s">
        <v>86</v>
      </c>
      <c r="J3">
        <v>0</v>
      </c>
      <c r="K3">
        <v>1</v>
      </c>
      <c r="M3">
        <v>4</v>
      </c>
      <c r="N3">
        <v>11</v>
      </c>
    </row>
    <row r="4" spans="1:14" ht="26.25" customHeight="1" x14ac:dyDescent="0.3">
      <c r="A4">
        <v>2</v>
      </c>
      <c r="B4" t="s">
        <v>32</v>
      </c>
      <c r="C4" t="s">
        <v>104</v>
      </c>
      <c r="D4">
        <v>0</v>
      </c>
      <c r="E4">
        <v>0</v>
      </c>
      <c r="F4">
        <v>0</v>
      </c>
      <c r="I4" t="s">
        <v>101</v>
      </c>
      <c r="J4">
        <v>0</v>
      </c>
      <c r="K4">
        <v>1</v>
      </c>
    </row>
    <row r="5" spans="1:14" ht="26.25" customHeight="1" x14ac:dyDescent="0.3">
      <c r="A5">
        <v>3</v>
      </c>
      <c r="B5" t="s">
        <v>33</v>
      </c>
      <c r="C5" t="s">
        <v>104</v>
      </c>
      <c r="D5">
        <v>0</v>
      </c>
      <c r="E5">
        <v>0</v>
      </c>
      <c r="F5">
        <v>0</v>
      </c>
      <c r="I5" t="s">
        <v>37</v>
      </c>
      <c r="J5">
        <v>0</v>
      </c>
      <c r="K5">
        <v>2</v>
      </c>
      <c r="M5" t="s">
        <v>109</v>
      </c>
      <c r="N5">
        <v>4</v>
      </c>
    </row>
    <row r="6" spans="1:14" ht="26.25" customHeight="1" x14ac:dyDescent="0.3">
      <c r="A6">
        <v>4</v>
      </c>
      <c r="B6" t="s">
        <v>34</v>
      </c>
      <c r="C6" t="s">
        <v>104</v>
      </c>
      <c r="D6">
        <v>0</v>
      </c>
      <c r="E6">
        <v>0</v>
      </c>
      <c r="F6">
        <v>0</v>
      </c>
      <c r="I6" t="s">
        <v>87</v>
      </c>
      <c r="J6">
        <v>0</v>
      </c>
      <c r="K6">
        <v>1</v>
      </c>
      <c r="M6" t="s">
        <v>108</v>
      </c>
      <c r="N6">
        <v>11</v>
      </c>
    </row>
    <row r="7" spans="1:14" ht="26.25" customHeight="1" x14ac:dyDescent="0.3">
      <c r="A7">
        <v>5</v>
      </c>
      <c r="B7" t="s">
        <v>35</v>
      </c>
      <c r="C7" t="s">
        <v>86</v>
      </c>
      <c r="D7">
        <v>1</v>
      </c>
      <c r="E7">
        <v>0</v>
      </c>
      <c r="F7">
        <v>1</v>
      </c>
      <c r="I7" t="s">
        <v>88</v>
      </c>
      <c r="J7">
        <v>0</v>
      </c>
      <c r="K7">
        <v>2</v>
      </c>
    </row>
    <row r="8" spans="1:14" ht="26.25" customHeight="1" x14ac:dyDescent="0.3">
      <c r="A8">
        <v>6</v>
      </c>
      <c r="B8" t="s">
        <v>36</v>
      </c>
      <c r="C8" t="s">
        <v>101</v>
      </c>
      <c r="D8">
        <v>1</v>
      </c>
      <c r="E8">
        <v>0</v>
      </c>
      <c r="F8">
        <v>1</v>
      </c>
      <c r="I8" t="s">
        <v>102</v>
      </c>
      <c r="J8">
        <v>0</v>
      </c>
      <c r="K8">
        <v>1</v>
      </c>
    </row>
    <row r="9" spans="1:14" ht="26.25" customHeight="1" x14ac:dyDescent="0.3">
      <c r="A9">
        <v>7</v>
      </c>
      <c r="B9" t="s">
        <v>37</v>
      </c>
      <c r="C9" t="s">
        <v>37</v>
      </c>
      <c r="D9">
        <v>2</v>
      </c>
      <c r="E9">
        <v>0</v>
      </c>
      <c r="F9">
        <v>2</v>
      </c>
      <c r="I9" t="s">
        <v>50</v>
      </c>
      <c r="J9">
        <v>1</v>
      </c>
      <c r="K9">
        <v>0</v>
      </c>
    </row>
    <row r="10" spans="1:14" ht="26.25" customHeight="1" x14ac:dyDescent="0.3">
      <c r="A10">
        <v>8</v>
      </c>
      <c r="B10" t="s">
        <v>38</v>
      </c>
      <c r="C10" t="s">
        <v>104</v>
      </c>
      <c r="D10">
        <v>0</v>
      </c>
      <c r="E10">
        <v>0</v>
      </c>
      <c r="F10">
        <v>0</v>
      </c>
      <c r="I10" t="s">
        <v>89</v>
      </c>
      <c r="J10">
        <v>2</v>
      </c>
      <c r="K10">
        <v>0</v>
      </c>
    </row>
    <row r="11" spans="1:14" ht="26.25" customHeight="1" x14ac:dyDescent="0.3">
      <c r="A11">
        <v>9</v>
      </c>
      <c r="B11" t="s">
        <v>39</v>
      </c>
      <c r="C11" t="s">
        <v>104</v>
      </c>
      <c r="D11">
        <v>0</v>
      </c>
      <c r="E11">
        <v>0</v>
      </c>
      <c r="F11">
        <v>0</v>
      </c>
      <c r="I11" t="s">
        <v>54</v>
      </c>
      <c r="J11">
        <v>0</v>
      </c>
      <c r="K11">
        <v>2</v>
      </c>
    </row>
    <row r="12" spans="1:14" ht="26.25" customHeight="1" x14ac:dyDescent="0.3">
      <c r="A12">
        <v>10</v>
      </c>
      <c r="B12" t="s">
        <v>40</v>
      </c>
      <c r="C12" t="s">
        <v>104</v>
      </c>
      <c r="D12">
        <v>0</v>
      </c>
      <c r="E12">
        <v>0</v>
      </c>
      <c r="F12">
        <v>0</v>
      </c>
      <c r="I12" t="s">
        <v>90</v>
      </c>
      <c r="J12">
        <v>0</v>
      </c>
      <c r="K12">
        <v>1</v>
      </c>
    </row>
    <row r="13" spans="1:14" ht="26.25" customHeight="1" x14ac:dyDescent="0.3">
      <c r="A13">
        <v>11</v>
      </c>
      <c r="B13" t="s">
        <v>41</v>
      </c>
      <c r="C13" t="s">
        <v>104</v>
      </c>
      <c r="D13">
        <v>0</v>
      </c>
      <c r="E13">
        <v>0</v>
      </c>
      <c r="F13">
        <v>0</v>
      </c>
      <c r="I13" t="s">
        <v>91</v>
      </c>
      <c r="J13">
        <v>1</v>
      </c>
      <c r="K13">
        <v>0</v>
      </c>
    </row>
    <row r="14" spans="1:14" ht="26.25" customHeight="1" x14ac:dyDescent="0.3">
      <c r="A14">
        <v>12</v>
      </c>
      <c r="B14" t="s">
        <v>42</v>
      </c>
      <c r="C14" t="s">
        <v>104</v>
      </c>
      <c r="D14">
        <v>0</v>
      </c>
      <c r="E14">
        <v>0</v>
      </c>
      <c r="F14">
        <v>0</v>
      </c>
    </row>
    <row r="15" spans="1:14" ht="26.25" customHeight="1" x14ac:dyDescent="0.3">
      <c r="A15">
        <v>13</v>
      </c>
      <c r="B15" t="s">
        <v>43</v>
      </c>
      <c r="C15" t="s">
        <v>104</v>
      </c>
      <c r="D15">
        <v>0</v>
      </c>
      <c r="E15">
        <v>0</v>
      </c>
      <c r="F15">
        <v>0</v>
      </c>
    </row>
    <row r="16" spans="1:14" ht="26.25" customHeight="1" x14ac:dyDescent="0.3">
      <c r="A16">
        <v>14</v>
      </c>
      <c r="B16" t="s">
        <v>44</v>
      </c>
      <c r="C16" t="s">
        <v>104</v>
      </c>
      <c r="D16">
        <v>0</v>
      </c>
      <c r="E16">
        <v>0</v>
      </c>
      <c r="F16">
        <v>0</v>
      </c>
    </row>
    <row r="17" spans="1:6" ht="26.25" customHeight="1" x14ac:dyDescent="0.3">
      <c r="A17">
        <v>15</v>
      </c>
      <c r="B17" t="s">
        <v>45</v>
      </c>
      <c r="C17" t="s">
        <v>87</v>
      </c>
      <c r="D17">
        <v>1</v>
      </c>
      <c r="E17">
        <v>0</v>
      </c>
      <c r="F17">
        <v>1</v>
      </c>
    </row>
    <row r="18" spans="1:6" ht="26.25" customHeight="1" x14ac:dyDescent="0.3">
      <c r="A18">
        <v>16</v>
      </c>
      <c r="B18" t="s">
        <v>46</v>
      </c>
      <c r="C18" t="s">
        <v>104</v>
      </c>
      <c r="D18">
        <v>0</v>
      </c>
      <c r="E18">
        <v>0</v>
      </c>
      <c r="F18">
        <v>0</v>
      </c>
    </row>
    <row r="19" spans="1:6" ht="26.25" customHeight="1" x14ac:dyDescent="0.3">
      <c r="A19">
        <v>17</v>
      </c>
      <c r="B19" t="s">
        <v>47</v>
      </c>
      <c r="C19" t="s">
        <v>104</v>
      </c>
      <c r="D19">
        <v>0</v>
      </c>
      <c r="E19">
        <v>0</v>
      </c>
      <c r="F19">
        <v>0</v>
      </c>
    </row>
    <row r="20" spans="1:6" ht="26.25" customHeight="1" x14ac:dyDescent="0.3">
      <c r="A20" s="23">
        <v>18</v>
      </c>
      <c r="B20" s="23" t="s">
        <v>48</v>
      </c>
      <c r="C20" t="s">
        <v>88</v>
      </c>
      <c r="D20">
        <v>2</v>
      </c>
      <c r="E20">
        <v>0</v>
      </c>
      <c r="F20">
        <v>2</v>
      </c>
    </row>
    <row r="21" spans="1:6" ht="26.25" customHeight="1" x14ac:dyDescent="0.3">
      <c r="A21" s="23"/>
      <c r="B21" s="23"/>
      <c r="C21" t="s">
        <v>102</v>
      </c>
      <c r="D21">
        <v>1</v>
      </c>
      <c r="E21">
        <v>0</v>
      </c>
      <c r="F21">
        <v>1</v>
      </c>
    </row>
    <row r="22" spans="1:6" ht="26.25" customHeight="1" x14ac:dyDescent="0.3">
      <c r="A22">
        <v>19</v>
      </c>
      <c r="B22" t="s">
        <v>49</v>
      </c>
      <c r="C22" t="s">
        <v>104</v>
      </c>
      <c r="D22">
        <v>0</v>
      </c>
      <c r="E22">
        <v>0</v>
      </c>
      <c r="F22">
        <v>0</v>
      </c>
    </row>
    <row r="23" spans="1:6" ht="26.25" customHeight="1" x14ac:dyDescent="0.3">
      <c r="A23">
        <v>20</v>
      </c>
      <c r="B23" t="s">
        <v>50</v>
      </c>
      <c r="C23" t="s">
        <v>50</v>
      </c>
      <c r="D23">
        <v>1</v>
      </c>
      <c r="E23">
        <v>1</v>
      </c>
      <c r="F23">
        <v>0</v>
      </c>
    </row>
    <row r="24" spans="1:6" ht="26.25" customHeight="1" x14ac:dyDescent="0.3">
      <c r="A24">
        <v>21</v>
      </c>
      <c r="B24" t="s">
        <v>51</v>
      </c>
      <c r="C24" t="s">
        <v>89</v>
      </c>
      <c r="D24">
        <v>2</v>
      </c>
      <c r="E24">
        <v>2</v>
      </c>
      <c r="F24">
        <v>0</v>
      </c>
    </row>
    <row r="25" spans="1:6" ht="26.25" customHeight="1" x14ac:dyDescent="0.3">
      <c r="A25">
        <v>22</v>
      </c>
      <c r="B25" t="s">
        <v>52</v>
      </c>
      <c r="C25" t="s">
        <v>104</v>
      </c>
      <c r="D25">
        <v>0</v>
      </c>
      <c r="E25">
        <v>0</v>
      </c>
      <c r="F25">
        <v>0</v>
      </c>
    </row>
    <row r="26" spans="1:6" ht="26.25" customHeight="1" x14ac:dyDescent="0.3">
      <c r="A26">
        <v>23</v>
      </c>
      <c r="B26" t="s">
        <v>53</v>
      </c>
      <c r="C26" t="s">
        <v>104</v>
      </c>
      <c r="D26">
        <v>0</v>
      </c>
      <c r="E26">
        <v>0</v>
      </c>
      <c r="F26">
        <v>0</v>
      </c>
    </row>
    <row r="27" spans="1:6" ht="26.25" customHeight="1" x14ac:dyDescent="0.3">
      <c r="A27">
        <v>24</v>
      </c>
      <c r="B27" t="s">
        <v>54</v>
      </c>
      <c r="C27" s="10" t="s">
        <v>54</v>
      </c>
      <c r="D27">
        <v>2</v>
      </c>
      <c r="E27">
        <v>0</v>
      </c>
      <c r="F27">
        <v>2</v>
      </c>
    </row>
    <row r="28" spans="1:6" ht="26.25" customHeight="1" x14ac:dyDescent="0.3">
      <c r="A28" s="23">
        <v>25</v>
      </c>
      <c r="B28" s="23" t="s">
        <v>55</v>
      </c>
      <c r="C28" t="s">
        <v>90</v>
      </c>
      <c r="D28">
        <v>1</v>
      </c>
      <c r="E28">
        <v>0</v>
      </c>
      <c r="F28">
        <v>1</v>
      </c>
    </row>
    <row r="29" spans="1:6" ht="26.25" customHeight="1" x14ac:dyDescent="0.3">
      <c r="A29" s="23"/>
      <c r="B29" s="23"/>
      <c r="C29" t="s">
        <v>91</v>
      </c>
      <c r="D29">
        <v>1</v>
      </c>
      <c r="E29">
        <v>1</v>
      </c>
      <c r="F29">
        <v>0</v>
      </c>
    </row>
    <row r="30" spans="1:6" ht="26.25" customHeight="1" x14ac:dyDescent="0.3">
      <c r="A30">
        <v>26</v>
      </c>
      <c r="B30" t="s">
        <v>92</v>
      </c>
      <c r="C30" t="s">
        <v>104</v>
      </c>
      <c r="D30">
        <v>0</v>
      </c>
      <c r="E30">
        <v>0</v>
      </c>
      <c r="F30">
        <v>0</v>
      </c>
    </row>
    <row r="31" spans="1:6" ht="26.25" customHeight="1" x14ac:dyDescent="0.3"/>
    <row r="32" spans="1:6" ht="26.25" customHeight="1" x14ac:dyDescent="0.3">
      <c r="A32" s="23" t="s">
        <v>56</v>
      </c>
      <c r="B32" s="23"/>
      <c r="D32">
        <f>SUM(D3:D30)</f>
        <v>15</v>
      </c>
      <c r="E32">
        <f t="shared" ref="E32:F32" si="0">SUM(E3:E30)</f>
        <v>4</v>
      </c>
      <c r="F32">
        <f t="shared" si="0"/>
        <v>11</v>
      </c>
    </row>
  </sheetData>
  <mergeCells count="6">
    <mergeCell ref="A32:B32"/>
    <mergeCell ref="A1:D1"/>
    <mergeCell ref="A20:A21"/>
    <mergeCell ref="B20:B21"/>
    <mergeCell ref="A28:A29"/>
    <mergeCell ref="B28:B29"/>
  </mergeCells>
  <pageMargins left="0.70866141732283472" right="0.70866141732283472" top="0.74803149606299213" bottom="0.74803149606299213" header="0.31496062992125984" footer="0.31496062992125984"/>
  <pageSetup paperSize="9" scale="92" orientation="portrait" horizontalDpi="0" verticalDpi="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1492-773A-4315-8A01-482390B2FACB}">
  <sheetPr>
    <pageSetUpPr fitToPage="1"/>
  </sheetPr>
  <dimension ref="A1:O35"/>
  <sheetViews>
    <sheetView workbookViewId="0">
      <selection activeCell="D35" sqref="D35"/>
    </sheetView>
  </sheetViews>
  <sheetFormatPr defaultRowHeight="14.4" x14ac:dyDescent="0.3"/>
  <cols>
    <col min="1" max="1" width="5.88671875" bestFit="1" customWidth="1"/>
    <col min="2" max="2" width="20.21875" bestFit="1" customWidth="1"/>
    <col min="3" max="3" width="16.88671875" bestFit="1" customWidth="1"/>
    <col min="4" max="4" width="14.77734375" customWidth="1"/>
    <col min="5" max="5" width="17.77734375" customWidth="1"/>
    <col min="6" max="6" width="14.6640625" customWidth="1"/>
    <col min="9" max="9" width="26.5546875" customWidth="1"/>
    <col min="10" max="10" width="16.88671875" customWidth="1"/>
    <col min="14" max="14" width="13.5546875" bestFit="1" customWidth="1"/>
    <col min="15" max="15" width="11.6640625" bestFit="1" customWidth="1"/>
    <col min="16" max="16" width="5.21875" bestFit="1" customWidth="1"/>
    <col min="17" max="17" width="10.77734375" bestFit="1" customWidth="1"/>
  </cols>
  <sheetData>
    <row r="1" spans="1:15" ht="31.5" customHeight="1" x14ac:dyDescent="0.3">
      <c r="A1" s="23" t="s">
        <v>105</v>
      </c>
      <c r="B1" s="23"/>
      <c r="C1" s="23"/>
      <c r="D1" s="23"/>
      <c r="I1" s="1"/>
    </row>
    <row r="2" spans="1:15" x14ac:dyDescent="0.3">
      <c r="A2" t="s">
        <v>0</v>
      </c>
      <c r="B2" t="s">
        <v>1</v>
      </c>
      <c r="C2" t="s">
        <v>79</v>
      </c>
      <c r="D2" t="s">
        <v>2</v>
      </c>
      <c r="E2" t="s">
        <v>108</v>
      </c>
      <c r="F2" t="s">
        <v>109</v>
      </c>
      <c r="J2" t="s">
        <v>79</v>
      </c>
      <c r="K2" t="s">
        <v>108</v>
      </c>
      <c r="L2" t="s">
        <v>109</v>
      </c>
      <c r="N2" t="s">
        <v>110</v>
      </c>
      <c r="O2" t="s">
        <v>111</v>
      </c>
    </row>
    <row r="3" spans="1:15" ht="23.25" customHeight="1" x14ac:dyDescent="0.3">
      <c r="A3">
        <v>1</v>
      </c>
      <c r="B3" t="s">
        <v>3</v>
      </c>
      <c r="C3" t="s">
        <v>80</v>
      </c>
      <c r="D3">
        <v>1</v>
      </c>
      <c r="E3">
        <v>1</v>
      </c>
      <c r="F3">
        <v>0</v>
      </c>
      <c r="J3" t="s">
        <v>80</v>
      </c>
      <c r="K3">
        <v>1</v>
      </c>
      <c r="L3">
        <v>0</v>
      </c>
      <c r="N3">
        <v>5</v>
      </c>
      <c r="O3">
        <v>10</v>
      </c>
    </row>
    <row r="4" spans="1:15" ht="23.25" customHeight="1" x14ac:dyDescent="0.3">
      <c r="A4">
        <v>2</v>
      </c>
      <c r="B4" t="s">
        <v>4</v>
      </c>
      <c r="C4" t="s">
        <v>81</v>
      </c>
      <c r="D4">
        <v>1</v>
      </c>
      <c r="E4">
        <v>1</v>
      </c>
      <c r="F4">
        <v>0</v>
      </c>
      <c r="J4" t="s">
        <v>81</v>
      </c>
      <c r="K4">
        <v>1</v>
      </c>
      <c r="L4">
        <v>0</v>
      </c>
    </row>
    <row r="5" spans="1:15" ht="23.25" customHeight="1" x14ac:dyDescent="0.3">
      <c r="A5">
        <v>3</v>
      </c>
      <c r="B5" t="s">
        <v>5</v>
      </c>
      <c r="C5" t="s">
        <v>82</v>
      </c>
      <c r="D5">
        <v>1</v>
      </c>
      <c r="E5">
        <v>0</v>
      </c>
      <c r="F5">
        <v>1</v>
      </c>
      <c r="J5" t="s">
        <v>82</v>
      </c>
      <c r="K5">
        <v>0</v>
      </c>
      <c r="L5">
        <v>1</v>
      </c>
      <c r="N5" t="s">
        <v>109</v>
      </c>
      <c r="O5">
        <v>5</v>
      </c>
    </row>
    <row r="6" spans="1:15" ht="23.25" customHeight="1" x14ac:dyDescent="0.3">
      <c r="A6">
        <v>4</v>
      </c>
      <c r="B6" t="s">
        <v>6</v>
      </c>
      <c r="C6" t="s">
        <v>104</v>
      </c>
      <c r="D6">
        <v>0</v>
      </c>
      <c r="E6">
        <v>0</v>
      </c>
      <c r="F6">
        <v>0</v>
      </c>
      <c r="J6" t="s">
        <v>96</v>
      </c>
      <c r="K6">
        <v>0</v>
      </c>
      <c r="L6">
        <v>1</v>
      </c>
      <c r="N6" t="s">
        <v>108</v>
      </c>
      <c r="O6">
        <v>10</v>
      </c>
    </row>
    <row r="7" spans="1:15" ht="23.25" customHeight="1" x14ac:dyDescent="0.3">
      <c r="A7">
        <v>5</v>
      </c>
      <c r="B7" t="s">
        <v>7</v>
      </c>
      <c r="C7" t="s">
        <v>96</v>
      </c>
      <c r="D7">
        <v>1</v>
      </c>
      <c r="E7">
        <v>0</v>
      </c>
      <c r="F7">
        <v>1</v>
      </c>
      <c r="J7" t="s">
        <v>84</v>
      </c>
      <c r="K7">
        <v>1</v>
      </c>
      <c r="L7">
        <v>2</v>
      </c>
    </row>
    <row r="8" spans="1:15" ht="23.25" customHeight="1" x14ac:dyDescent="0.3">
      <c r="A8" s="23">
        <v>6</v>
      </c>
      <c r="B8" s="23" t="s">
        <v>8</v>
      </c>
      <c r="C8" t="s">
        <v>84</v>
      </c>
      <c r="D8">
        <v>3</v>
      </c>
      <c r="E8">
        <v>1</v>
      </c>
      <c r="F8">
        <v>2</v>
      </c>
      <c r="J8" t="s">
        <v>95</v>
      </c>
      <c r="K8">
        <v>0</v>
      </c>
      <c r="L8">
        <v>1</v>
      </c>
    </row>
    <row r="9" spans="1:15" ht="23.25" customHeight="1" x14ac:dyDescent="0.3">
      <c r="A9" s="23"/>
      <c r="B9" s="23"/>
      <c r="C9" t="s">
        <v>95</v>
      </c>
      <c r="D9">
        <v>1</v>
      </c>
      <c r="E9">
        <v>0</v>
      </c>
      <c r="F9">
        <v>1</v>
      </c>
      <c r="J9" t="s">
        <v>85</v>
      </c>
      <c r="K9">
        <v>0</v>
      </c>
      <c r="L9">
        <v>1</v>
      </c>
    </row>
    <row r="10" spans="1:15" ht="23.25" customHeight="1" x14ac:dyDescent="0.3">
      <c r="A10">
        <v>7</v>
      </c>
      <c r="B10" t="s">
        <v>9</v>
      </c>
      <c r="C10" t="s">
        <v>104</v>
      </c>
      <c r="D10">
        <v>0</v>
      </c>
      <c r="E10">
        <v>0</v>
      </c>
      <c r="F10">
        <v>0</v>
      </c>
      <c r="J10" t="s">
        <v>16</v>
      </c>
      <c r="K10">
        <v>1</v>
      </c>
      <c r="L10">
        <v>0</v>
      </c>
    </row>
    <row r="11" spans="1:15" ht="23.25" customHeight="1" x14ac:dyDescent="0.3">
      <c r="A11">
        <v>8</v>
      </c>
      <c r="B11" t="s">
        <v>10</v>
      </c>
      <c r="C11" t="s">
        <v>104</v>
      </c>
      <c r="D11">
        <v>0</v>
      </c>
      <c r="E11">
        <v>0</v>
      </c>
      <c r="F11">
        <v>0</v>
      </c>
      <c r="J11" t="s">
        <v>100</v>
      </c>
      <c r="K11">
        <v>0</v>
      </c>
      <c r="L11">
        <v>1</v>
      </c>
    </row>
    <row r="12" spans="1:15" ht="23.25" customHeight="1" x14ac:dyDescent="0.3">
      <c r="A12">
        <v>9</v>
      </c>
      <c r="B12" t="s">
        <v>11</v>
      </c>
      <c r="C12" t="s">
        <v>85</v>
      </c>
      <c r="D12">
        <v>1</v>
      </c>
      <c r="E12">
        <v>0</v>
      </c>
      <c r="F12">
        <v>1</v>
      </c>
      <c r="J12" t="s">
        <v>98</v>
      </c>
      <c r="K12">
        <v>0</v>
      </c>
      <c r="L12">
        <v>1</v>
      </c>
    </row>
    <row r="13" spans="1:15" ht="23.25" customHeight="1" x14ac:dyDescent="0.3">
      <c r="A13">
        <v>10</v>
      </c>
      <c r="B13" t="s">
        <v>12</v>
      </c>
      <c r="C13" t="s">
        <v>104</v>
      </c>
      <c r="D13">
        <v>0</v>
      </c>
      <c r="E13">
        <v>0</v>
      </c>
      <c r="F13">
        <v>0</v>
      </c>
      <c r="J13" t="s">
        <v>99</v>
      </c>
      <c r="K13">
        <v>0</v>
      </c>
      <c r="L13">
        <v>1</v>
      </c>
    </row>
    <row r="14" spans="1:15" ht="23.25" customHeight="1" x14ac:dyDescent="0.3">
      <c r="A14">
        <v>11</v>
      </c>
      <c r="B14" t="s">
        <v>13</v>
      </c>
      <c r="C14" t="s">
        <v>104</v>
      </c>
      <c r="D14">
        <v>0</v>
      </c>
      <c r="E14">
        <v>0</v>
      </c>
      <c r="F14">
        <v>0</v>
      </c>
      <c r="J14" t="s">
        <v>97</v>
      </c>
      <c r="K14">
        <v>0</v>
      </c>
      <c r="L14">
        <v>1</v>
      </c>
    </row>
    <row r="15" spans="1:15" ht="23.25" customHeight="1" x14ac:dyDescent="0.3">
      <c r="A15">
        <v>12</v>
      </c>
      <c r="B15" t="s">
        <v>14</v>
      </c>
      <c r="C15" t="s">
        <v>104</v>
      </c>
      <c r="D15">
        <v>0</v>
      </c>
      <c r="E15">
        <v>0</v>
      </c>
      <c r="F15">
        <v>0</v>
      </c>
      <c r="J15" t="s">
        <v>83</v>
      </c>
      <c r="K15">
        <v>1</v>
      </c>
      <c r="L15">
        <v>0</v>
      </c>
    </row>
    <row r="16" spans="1:15" ht="23.25" customHeight="1" x14ac:dyDescent="0.3">
      <c r="A16">
        <v>13</v>
      </c>
      <c r="B16" t="s">
        <v>15</v>
      </c>
      <c r="C16" t="s">
        <v>104</v>
      </c>
      <c r="D16">
        <v>0</v>
      </c>
      <c r="E16">
        <v>0</v>
      </c>
      <c r="F16">
        <v>0</v>
      </c>
    </row>
    <row r="17" spans="1:6" ht="23.25" customHeight="1" x14ac:dyDescent="0.3">
      <c r="A17">
        <v>14</v>
      </c>
      <c r="B17" t="s">
        <v>16</v>
      </c>
      <c r="C17" t="s">
        <v>16</v>
      </c>
      <c r="D17">
        <v>1</v>
      </c>
      <c r="E17">
        <v>1</v>
      </c>
      <c r="F17">
        <v>0</v>
      </c>
    </row>
    <row r="18" spans="1:6" ht="23.25" customHeight="1" x14ac:dyDescent="0.3">
      <c r="A18">
        <v>15</v>
      </c>
      <c r="B18" t="s">
        <v>17</v>
      </c>
      <c r="C18" t="s">
        <v>104</v>
      </c>
      <c r="D18">
        <v>0</v>
      </c>
      <c r="E18">
        <v>0</v>
      </c>
      <c r="F18">
        <v>0</v>
      </c>
    </row>
    <row r="19" spans="1:6" ht="23.25" customHeight="1" x14ac:dyDescent="0.3">
      <c r="A19">
        <v>16</v>
      </c>
      <c r="B19" t="s">
        <v>18</v>
      </c>
      <c r="C19" t="s">
        <v>104</v>
      </c>
      <c r="D19">
        <v>0</v>
      </c>
      <c r="E19">
        <v>0</v>
      </c>
      <c r="F19">
        <v>0</v>
      </c>
    </row>
    <row r="20" spans="1:6" ht="23.25" customHeight="1" x14ac:dyDescent="0.3">
      <c r="A20">
        <v>17</v>
      </c>
      <c r="B20" t="s">
        <v>19</v>
      </c>
      <c r="C20" t="s">
        <v>104</v>
      </c>
      <c r="D20">
        <v>0</v>
      </c>
      <c r="E20">
        <v>0</v>
      </c>
      <c r="F20">
        <v>0</v>
      </c>
    </row>
    <row r="21" spans="1:6" ht="23.25" customHeight="1" x14ac:dyDescent="0.3">
      <c r="A21">
        <v>18</v>
      </c>
      <c r="B21" t="s">
        <v>20</v>
      </c>
      <c r="C21" t="s">
        <v>104</v>
      </c>
      <c r="D21">
        <v>0</v>
      </c>
      <c r="E21">
        <v>0</v>
      </c>
      <c r="F21">
        <v>0</v>
      </c>
    </row>
    <row r="22" spans="1:6" ht="23.25" customHeight="1" x14ac:dyDescent="0.3">
      <c r="A22">
        <v>19</v>
      </c>
      <c r="B22" t="s">
        <v>21</v>
      </c>
      <c r="C22" t="s">
        <v>104</v>
      </c>
      <c r="D22">
        <v>0</v>
      </c>
      <c r="E22">
        <v>0</v>
      </c>
      <c r="F22">
        <v>0</v>
      </c>
    </row>
    <row r="23" spans="1:6" ht="23.25" customHeight="1" x14ac:dyDescent="0.3">
      <c r="A23">
        <v>20</v>
      </c>
      <c r="B23" t="s">
        <v>22</v>
      </c>
      <c r="C23" t="s">
        <v>100</v>
      </c>
      <c r="D23">
        <v>1</v>
      </c>
      <c r="E23">
        <v>0</v>
      </c>
      <c r="F23">
        <v>1</v>
      </c>
    </row>
    <row r="24" spans="1:6" ht="23.25" customHeight="1" x14ac:dyDescent="0.3">
      <c r="A24">
        <v>21</v>
      </c>
      <c r="B24" t="s">
        <v>23</v>
      </c>
      <c r="C24" t="s">
        <v>104</v>
      </c>
      <c r="D24">
        <v>0</v>
      </c>
      <c r="E24">
        <v>0</v>
      </c>
      <c r="F24">
        <v>0</v>
      </c>
    </row>
    <row r="25" spans="1:6" ht="23.25" customHeight="1" x14ac:dyDescent="0.3">
      <c r="A25">
        <v>22</v>
      </c>
      <c r="B25" t="s">
        <v>24</v>
      </c>
      <c r="C25" t="s">
        <v>104</v>
      </c>
      <c r="D25">
        <v>0</v>
      </c>
      <c r="E25">
        <v>0</v>
      </c>
      <c r="F25">
        <v>0</v>
      </c>
    </row>
    <row r="26" spans="1:6" ht="23.25" customHeight="1" x14ac:dyDescent="0.3">
      <c r="A26">
        <v>23</v>
      </c>
      <c r="B26" t="s">
        <v>25</v>
      </c>
      <c r="C26" t="s">
        <v>104</v>
      </c>
      <c r="D26">
        <v>0</v>
      </c>
      <c r="E26">
        <v>0</v>
      </c>
      <c r="F26">
        <v>0</v>
      </c>
    </row>
    <row r="27" spans="1:6" ht="23.25" customHeight="1" x14ac:dyDescent="0.3">
      <c r="A27" s="23">
        <v>24</v>
      </c>
      <c r="B27" s="23" t="s">
        <v>26</v>
      </c>
      <c r="C27" t="s">
        <v>98</v>
      </c>
      <c r="D27">
        <v>1</v>
      </c>
      <c r="E27">
        <v>0</v>
      </c>
      <c r="F27">
        <v>1</v>
      </c>
    </row>
    <row r="28" spans="1:6" ht="23.25" customHeight="1" x14ac:dyDescent="0.3">
      <c r="A28" s="23"/>
      <c r="B28" s="23"/>
      <c r="C28" t="s">
        <v>99</v>
      </c>
      <c r="D28">
        <v>1</v>
      </c>
      <c r="E28">
        <v>0</v>
      </c>
      <c r="F28">
        <v>1</v>
      </c>
    </row>
    <row r="29" spans="1:6" ht="23.25" customHeight="1" x14ac:dyDescent="0.3">
      <c r="A29" s="23">
        <v>25</v>
      </c>
      <c r="B29" s="23" t="s">
        <v>27</v>
      </c>
      <c r="C29" t="s">
        <v>97</v>
      </c>
      <c r="D29">
        <v>1</v>
      </c>
      <c r="E29">
        <v>0</v>
      </c>
      <c r="F29">
        <v>1</v>
      </c>
    </row>
    <row r="30" spans="1:6" ht="23.25" customHeight="1" x14ac:dyDescent="0.3">
      <c r="A30" s="23"/>
      <c r="B30" s="23"/>
      <c r="C30" t="s">
        <v>83</v>
      </c>
      <c r="D30">
        <v>1</v>
      </c>
      <c r="E30">
        <v>1</v>
      </c>
      <c r="F30">
        <v>0</v>
      </c>
    </row>
    <row r="31" spans="1:6" ht="23.25" customHeight="1" x14ac:dyDescent="0.3">
      <c r="A31">
        <v>26</v>
      </c>
      <c r="B31" t="s">
        <v>28</v>
      </c>
      <c r="C31" t="s">
        <v>104</v>
      </c>
      <c r="D31">
        <v>0</v>
      </c>
      <c r="E31">
        <v>0</v>
      </c>
      <c r="F31">
        <v>0</v>
      </c>
    </row>
    <row r="32" spans="1:6" ht="23.25" customHeight="1" x14ac:dyDescent="0.3">
      <c r="A32">
        <v>27</v>
      </c>
      <c r="B32" t="s">
        <v>29</v>
      </c>
      <c r="C32" t="s">
        <v>104</v>
      </c>
      <c r="D32">
        <v>0</v>
      </c>
      <c r="E32">
        <v>0</v>
      </c>
      <c r="F32">
        <v>0</v>
      </c>
    </row>
    <row r="33" spans="1:6" ht="23.25" customHeight="1" x14ac:dyDescent="0.3">
      <c r="A33">
        <v>28</v>
      </c>
      <c r="B33" t="s">
        <v>30</v>
      </c>
      <c r="C33" t="s">
        <v>104</v>
      </c>
      <c r="D33">
        <v>0</v>
      </c>
      <c r="E33">
        <v>0</v>
      </c>
      <c r="F33">
        <v>0</v>
      </c>
    </row>
    <row r="34" spans="1:6" ht="23.25" customHeight="1" x14ac:dyDescent="0.3"/>
    <row r="35" spans="1:6" ht="23.25" customHeight="1" x14ac:dyDescent="0.3">
      <c r="A35" s="23" t="s">
        <v>77</v>
      </c>
      <c r="B35" s="23"/>
      <c r="D35">
        <f>SUM(D3:D33)</f>
        <v>15</v>
      </c>
      <c r="E35">
        <f t="shared" ref="E35:F35" si="0">SUM(E3:E33)</f>
        <v>5</v>
      </c>
      <c r="F35">
        <f t="shared" si="0"/>
        <v>10</v>
      </c>
    </row>
  </sheetData>
  <mergeCells count="8">
    <mergeCell ref="A35:B35"/>
    <mergeCell ref="A1:D1"/>
    <mergeCell ref="A8:A9"/>
    <mergeCell ref="B8:B9"/>
    <mergeCell ref="A27:A28"/>
    <mergeCell ref="B27:B28"/>
    <mergeCell ref="A29:A30"/>
    <mergeCell ref="B29:B30"/>
  </mergeCells>
  <pageMargins left="0.70866141732283472" right="0.70866141732283472" top="0.74803149606299213" bottom="0.74803149606299213" header="0.31496062992125984" footer="0.31496062992125984"/>
  <pageSetup paperSize="9" scale="94"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F5E1-42B5-4A55-88AE-83001BED9A51}">
  <dimension ref="A1:H32"/>
  <sheetViews>
    <sheetView topLeftCell="B1" workbookViewId="0">
      <selection activeCell="H18" sqref="H18"/>
    </sheetView>
  </sheetViews>
  <sheetFormatPr defaultRowHeight="14.4" x14ac:dyDescent="0.3"/>
  <cols>
    <col min="1" max="1" width="14" customWidth="1"/>
    <col min="2" max="2" width="19.88671875" customWidth="1"/>
    <col min="7" max="7" width="14.77734375" customWidth="1"/>
    <col min="8" max="8" width="13.77734375" customWidth="1"/>
    <col min="9" max="9" width="8.33203125" bestFit="1" customWidth="1"/>
  </cols>
  <sheetData>
    <row r="1" spans="1:8" ht="28.8" x14ac:dyDescent="0.3">
      <c r="A1" t="s">
        <v>79</v>
      </c>
      <c r="B1" s="11" t="s">
        <v>2</v>
      </c>
      <c r="C1" t="s">
        <v>106</v>
      </c>
      <c r="D1" t="s">
        <v>107</v>
      </c>
    </row>
    <row r="2" spans="1:8" x14ac:dyDescent="0.3">
      <c r="A2" t="s">
        <v>80</v>
      </c>
      <c r="B2">
        <v>1</v>
      </c>
      <c r="C2">
        <v>1</v>
      </c>
      <c r="D2">
        <v>0</v>
      </c>
      <c r="G2" t="s">
        <v>109</v>
      </c>
      <c r="H2" t="s">
        <v>108</v>
      </c>
    </row>
    <row r="3" spans="1:8" x14ac:dyDescent="0.3">
      <c r="A3" t="s">
        <v>81</v>
      </c>
      <c r="B3">
        <v>1</v>
      </c>
      <c r="C3">
        <v>1</v>
      </c>
      <c r="D3">
        <v>0</v>
      </c>
      <c r="G3">
        <v>25</v>
      </c>
      <c r="H3">
        <v>10</v>
      </c>
    </row>
    <row r="4" spans="1:8" x14ac:dyDescent="0.3">
      <c r="A4" t="s">
        <v>82</v>
      </c>
      <c r="B4">
        <v>1</v>
      </c>
      <c r="C4">
        <v>0</v>
      </c>
      <c r="D4">
        <v>1</v>
      </c>
    </row>
    <row r="5" spans="1:8" x14ac:dyDescent="0.3">
      <c r="A5" t="s">
        <v>96</v>
      </c>
      <c r="B5">
        <v>1</v>
      </c>
      <c r="C5">
        <v>0</v>
      </c>
      <c r="D5">
        <v>1</v>
      </c>
    </row>
    <row r="6" spans="1:8" x14ac:dyDescent="0.3">
      <c r="A6" t="s">
        <v>84</v>
      </c>
      <c r="B6">
        <v>3</v>
      </c>
      <c r="C6">
        <v>1</v>
      </c>
      <c r="D6">
        <v>2</v>
      </c>
      <c r="G6" t="s">
        <v>109</v>
      </c>
      <c r="H6">
        <v>25</v>
      </c>
    </row>
    <row r="7" spans="1:8" x14ac:dyDescent="0.3">
      <c r="A7" t="s">
        <v>95</v>
      </c>
      <c r="B7">
        <v>1</v>
      </c>
      <c r="C7">
        <v>0</v>
      </c>
      <c r="D7">
        <v>1</v>
      </c>
      <c r="G7" t="s">
        <v>108</v>
      </c>
      <c r="H7">
        <v>10</v>
      </c>
    </row>
    <row r="8" spans="1:8" x14ac:dyDescent="0.3">
      <c r="A8" t="s">
        <v>85</v>
      </c>
      <c r="B8">
        <v>1</v>
      </c>
      <c r="C8">
        <v>0</v>
      </c>
      <c r="D8">
        <v>1</v>
      </c>
    </row>
    <row r="9" spans="1:8" x14ac:dyDescent="0.3">
      <c r="A9" t="s">
        <v>16</v>
      </c>
      <c r="B9">
        <v>1</v>
      </c>
      <c r="C9">
        <v>1</v>
      </c>
      <c r="D9">
        <v>0</v>
      </c>
    </row>
    <row r="10" spans="1:8" x14ac:dyDescent="0.3">
      <c r="A10" t="s">
        <v>100</v>
      </c>
      <c r="B10">
        <v>1</v>
      </c>
      <c r="C10">
        <v>0</v>
      </c>
      <c r="D10">
        <v>1</v>
      </c>
    </row>
    <row r="11" spans="1:8" x14ac:dyDescent="0.3">
      <c r="A11" t="s">
        <v>98</v>
      </c>
      <c r="B11">
        <v>1</v>
      </c>
      <c r="C11">
        <v>0</v>
      </c>
      <c r="D11">
        <v>1</v>
      </c>
    </row>
    <row r="12" spans="1:8" x14ac:dyDescent="0.3">
      <c r="A12" t="s">
        <v>99</v>
      </c>
      <c r="B12">
        <v>1</v>
      </c>
      <c r="C12">
        <v>0</v>
      </c>
      <c r="D12">
        <v>1</v>
      </c>
    </row>
    <row r="13" spans="1:8" x14ac:dyDescent="0.3">
      <c r="A13" t="s">
        <v>97</v>
      </c>
      <c r="B13">
        <v>1</v>
      </c>
      <c r="C13">
        <v>0</v>
      </c>
      <c r="D13">
        <v>1</v>
      </c>
    </row>
    <row r="14" spans="1:8" x14ac:dyDescent="0.3">
      <c r="A14" t="s">
        <v>83</v>
      </c>
      <c r="B14">
        <v>1</v>
      </c>
      <c r="C14">
        <v>1</v>
      </c>
      <c r="D14">
        <v>0</v>
      </c>
    </row>
    <row r="15" spans="1:8" x14ac:dyDescent="0.3">
      <c r="A15" t="s">
        <v>86</v>
      </c>
      <c r="B15">
        <v>1</v>
      </c>
      <c r="C15">
        <v>0</v>
      </c>
      <c r="D15">
        <v>1</v>
      </c>
    </row>
    <row r="16" spans="1:8" x14ac:dyDescent="0.3">
      <c r="A16" t="s">
        <v>101</v>
      </c>
      <c r="B16">
        <v>1</v>
      </c>
      <c r="C16">
        <v>0</v>
      </c>
      <c r="D16">
        <v>1</v>
      </c>
    </row>
    <row r="17" spans="1:4" x14ac:dyDescent="0.3">
      <c r="A17" t="s">
        <v>37</v>
      </c>
      <c r="B17">
        <v>2</v>
      </c>
      <c r="C17">
        <v>0</v>
      </c>
      <c r="D17">
        <v>2</v>
      </c>
    </row>
    <row r="18" spans="1:4" x14ac:dyDescent="0.3">
      <c r="A18" t="s">
        <v>87</v>
      </c>
      <c r="B18">
        <v>1</v>
      </c>
      <c r="C18">
        <v>0</v>
      </c>
      <c r="D18">
        <v>1</v>
      </c>
    </row>
    <row r="19" spans="1:4" x14ac:dyDescent="0.3">
      <c r="A19" t="s">
        <v>88</v>
      </c>
      <c r="B19">
        <v>2</v>
      </c>
      <c r="C19">
        <v>0</v>
      </c>
      <c r="D19">
        <v>2</v>
      </c>
    </row>
    <row r="20" spans="1:4" x14ac:dyDescent="0.3">
      <c r="A20" t="s">
        <v>102</v>
      </c>
      <c r="B20">
        <v>1</v>
      </c>
      <c r="C20">
        <v>0</v>
      </c>
      <c r="D20">
        <v>1</v>
      </c>
    </row>
    <row r="21" spans="1:4" x14ac:dyDescent="0.3">
      <c r="A21" t="s">
        <v>50</v>
      </c>
      <c r="B21">
        <v>1</v>
      </c>
      <c r="C21">
        <v>1</v>
      </c>
      <c r="D21">
        <v>0</v>
      </c>
    </row>
    <row r="22" spans="1:4" x14ac:dyDescent="0.3">
      <c r="A22" t="s">
        <v>89</v>
      </c>
      <c r="B22">
        <v>2</v>
      </c>
      <c r="C22">
        <v>2</v>
      </c>
      <c r="D22">
        <v>0</v>
      </c>
    </row>
    <row r="23" spans="1:4" x14ac:dyDescent="0.3">
      <c r="A23" t="s">
        <v>54</v>
      </c>
      <c r="B23">
        <v>2</v>
      </c>
      <c r="C23">
        <v>0</v>
      </c>
      <c r="D23">
        <v>2</v>
      </c>
    </row>
    <row r="24" spans="1:4" x14ac:dyDescent="0.3">
      <c r="A24" t="s">
        <v>90</v>
      </c>
      <c r="B24">
        <v>1</v>
      </c>
      <c r="C24">
        <v>0</v>
      </c>
      <c r="D24">
        <v>1</v>
      </c>
    </row>
    <row r="25" spans="1:4" x14ac:dyDescent="0.3">
      <c r="A25" t="s">
        <v>91</v>
      </c>
      <c r="B25">
        <v>1</v>
      </c>
      <c r="C25">
        <v>1</v>
      </c>
      <c r="D25">
        <v>0</v>
      </c>
    </row>
    <row r="26" spans="1:4" x14ac:dyDescent="0.3">
      <c r="A26" t="s">
        <v>93</v>
      </c>
      <c r="B26">
        <v>1</v>
      </c>
      <c r="C26">
        <v>0</v>
      </c>
      <c r="D26">
        <v>1</v>
      </c>
    </row>
    <row r="27" spans="1:4" x14ac:dyDescent="0.3">
      <c r="A27" t="s">
        <v>64</v>
      </c>
      <c r="B27">
        <v>1</v>
      </c>
      <c r="C27">
        <v>0</v>
      </c>
      <c r="D27">
        <v>1</v>
      </c>
    </row>
    <row r="28" spans="1:4" x14ac:dyDescent="0.3">
      <c r="A28" t="s">
        <v>68</v>
      </c>
      <c r="B28">
        <v>1</v>
      </c>
      <c r="C28">
        <v>0</v>
      </c>
      <c r="D28">
        <v>1</v>
      </c>
    </row>
    <row r="29" spans="1:4" x14ac:dyDescent="0.3">
      <c r="A29" t="s">
        <v>103</v>
      </c>
      <c r="B29">
        <v>1</v>
      </c>
      <c r="C29">
        <v>0</v>
      </c>
      <c r="D29">
        <v>1</v>
      </c>
    </row>
    <row r="30" spans="1:4" x14ac:dyDescent="0.3">
      <c r="A30" t="s">
        <v>94</v>
      </c>
      <c r="B30">
        <v>1</v>
      </c>
      <c r="C30">
        <v>1</v>
      </c>
      <c r="D30">
        <v>0</v>
      </c>
    </row>
    <row r="32" spans="1:4" x14ac:dyDescent="0.3">
      <c r="B32">
        <f>SUM(B2:B31)</f>
        <v>35</v>
      </c>
      <c r="C32">
        <f>SUM(C2:C31)</f>
        <v>10</v>
      </c>
      <c r="D32">
        <f>SUM(D2:D31)</f>
        <v>25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Udupi</vt:lpstr>
      <vt:lpstr>Kundapura</vt:lpstr>
      <vt:lpstr>Karkala</vt:lpstr>
      <vt:lpstr>Dashboard</vt:lpstr>
      <vt:lpstr>Karkala (2)</vt:lpstr>
      <vt:lpstr>Kundapura (2)</vt:lpstr>
      <vt:lpstr>Udupi (2)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 1</dc:creator>
  <cp:lastModifiedBy>Bandhavya P</cp:lastModifiedBy>
  <cp:lastPrinted>2025-03-19T07:55:37Z</cp:lastPrinted>
  <dcterms:created xsi:type="dcterms:W3CDTF">2025-03-19T04:58:59Z</dcterms:created>
  <dcterms:modified xsi:type="dcterms:W3CDTF">2026-03-29T15:27:28Z</dcterms:modified>
</cp:coreProperties>
</file>